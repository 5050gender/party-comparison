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5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charset val="1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 customHeight="1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:F1048576"/>
    </sheetView>
  </sheetViews>
  <sheetFormatPr baseColWidth="8" defaultColWidth="12.5703125" defaultRowHeight="14.25" customHeight="1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zoomScaleNormal="100" workbookViewId="0">
      <selection activeCell="A1" sqref="A1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s="10" t="inlineStr">
        <is>
          <t>הליכוד</t>
        </is>
      </c>
      <c r="B2" s="11" t="n">
        <v>23.6</v>
      </c>
      <c r="C2" s="10">
        <f>ROUND(B2,0)</f>
        <v/>
      </c>
      <c r="D2" s="10">
        <f>IF(C2&lt;=3,0,C2)</f>
        <v/>
      </c>
    </row>
    <row r="3" ht="15" customHeight="1">
      <c r="A3" s="10" t="inlineStr">
        <is>
          <t>ישר!</t>
        </is>
      </c>
      <c r="B3" s="11" t="n">
        <v>23.4</v>
      </c>
      <c r="C3" s="10">
        <f>ROUND(B3,0)</f>
        <v/>
      </c>
      <c r="D3" s="10">
        <f>IF(C3&lt;=3,0,C3)</f>
        <v/>
      </c>
    </row>
    <row r="4" ht="15" customHeight="1">
      <c r="A4" s="10" t="inlineStr">
        <is>
          <t>ביחד (בנט-לפיד)</t>
        </is>
      </c>
      <c r="B4" s="11" t="n">
        <v>13</v>
      </c>
      <c r="C4" s="10">
        <f>ROUND(B4,0)</f>
        <v/>
      </c>
      <c r="D4" s="10">
        <f>IF(C4&lt;=3,0,C4)</f>
        <v/>
      </c>
    </row>
    <row r="5" ht="15" customHeight="1">
      <c r="A5" s="10" t="inlineStr">
        <is>
          <t>הדמוקרטים</t>
        </is>
      </c>
      <c r="B5" s="11" t="n">
        <v>10.2</v>
      </c>
      <c r="C5" s="10">
        <f>ROUND(B5,0)</f>
        <v/>
      </c>
      <c r="D5" s="10">
        <f>IF(C5&lt;=3,0,C5)</f>
        <v/>
      </c>
    </row>
    <row r="6" ht="15" customHeight="1">
      <c r="A6" s="10" t="inlineStr">
        <is>
          <t>ישראל ביתנו</t>
        </is>
      </c>
      <c r="B6" s="11" t="n">
        <v>9.5</v>
      </c>
      <c r="C6" s="10">
        <f>ROUND(B6,0)</f>
        <v/>
      </c>
      <c r="D6" s="10">
        <f>IF(C6&lt;=3,0,C6)</f>
        <v/>
      </c>
    </row>
    <row r="7" ht="15" customHeight="1">
      <c r="A7" s="10" t="inlineStr">
        <is>
          <t>ש"ס</t>
        </is>
      </c>
      <c r="B7" s="11" t="n">
        <v>7.6</v>
      </c>
      <c r="C7" s="10">
        <f>ROUND(B7,0)</f>
        <v/>
      </c>
      <c r="D7" s="10">
        <f>IF(C7&lt;=3,0,C7)</f>
        <v/>
      </c>
    </row>
    <row r="8" ht="15" customHeight="1">
      <c r="A8" s="10" t="inlineStr">
        <is>
          <t>עוצמה יהודית</t>
        </is>
      </c>
      <c r="B8" s="11" t="n">
        <v>8.199999999999999</v>
      </c>
      <c r="C8" s="10">
        <f>ROUND(B8,0)</f>
        <v/>
      </c>
      <c r="D8" s="10">
        <f>IF(C8&lt;=3,0,C8)</f>
        <v/>
      </c>
    </row>
    <row r="9" ht="15" customHeight="1">
      <c r="A9" s="10" t="inlineStr">
        <is>
          <t>יהדות התורה</t>
        </is>
      </c>
      <c r="B9" s="11" t="n">
        <v>8</v>
      </c>
      <c r="C9" s="10">
        <f>ROUND(B9,0)</f>
        <v/>
      </c>
      <c r="D9" s="10">
        <f>IF(C9&lt;=3,0,C9)</f>
        <v/>
      </c>
    </row>
    <row r="10" ht="15" customHeight="1">
      <c r="A10" s="10" t="inlineStr">
        <is>
          <t>חדש תע"ל</t>
        </is>
      </c>
      <c r="B10" s="11" t="n">
        <v>5.6</v>
      </c>
      <c r="C10" s="10">
        <f>ROUND(B10,0)</f>
        <v/>
      </c>
      <c r="D10" s="10">
        <f>IF(C10&lt;=3,0,C10)</f>
        <v/>
      </c>
    </row>
    <row r="11" ht="15" customHeight="1">
      <c r="A11" s="10" t="inlineStr">
        <is>
          <t>הציונות הדתית</t>
        </is>
      </c>
      <c r="B11" s="11" t="n">
        <v>4.9</v>
      </c>
      <c r="C11" s="10">
        <f>ROUND(B11,0)</f>
        <v/>
      </c>
      <c r="D11" s="10">
        <f>IF(C11&lt;=3,0,C11)</f>
        <v/>
      </c>
    </row>
    <row r="12" ht="15" customHeight="1">
      <c r="A12" s="10" t="inlineStr">
        <is>
          <t>רע"מ</t>
        </is>
      </c>
      <c r="B12" s="11" t="n">
        <v>5.1</v>
      </c>
      <c r="C12" s="10">
        <f>ROUND(B12,0)</f>
        <v/>
      </c>
      <c r="D12" s="10">
        <f>IF(C12&lt;=3,0,C12)</f>
        <v/>
      </c>
    </row>
    <row r="13" ht="15" customHeight="1">
      <c r="A13" s="10" t="inlineStr">
        <is>
          <t>טרופר-הנדל</t>
        </is>
      </c>
      <c r="B13" s="11" t="n">
        <v>2.8</v>
      </c>
      <c r="C13" s="10">
        <f>ROUND(B13,0)</f>
        <v/>
      </c>
      <c r="D13" s="10">
        <f>IF(C13&lt;=3,0,C13)</f>
        <v/>
      </c>
    </row>
    <row r="14" ht="15" customHeight="1">
      <c r="A14" s="10" t="inlineStr">
        <is>
          <t>כחול לבן</t>
        </is>
      </c>
      <c r="B14" s="11" t="n">
        <v>1.4</v>
      </c>
      <c r="C14" s="10">
        <f>ROUND(B14,0)</f>
        <v/>
      </c>
      <c r="D14" s="10">
        <f>IF(C14&lt;=3,0,C14)</f>
        <v/>
      </c>
    </row>
    <row r="15" ht="15" customHeight="1">
      <c r="A15" s="10" t="inlineStr">
        <is>
          <t>בל"ד</t>
        </is>
      </c>
      <c r="B15" s="11" t="n">
        <v>1.7</v>
      </c>
      <c r="C15" s="10">
        <f>ROUND(B15,0)</f>
        <v/>
      </c>
      <c r="D15" s="10">
        <f>IF(C15&lt;=3,0,C15)</f>
        <v/>
      </c>
    </row>
    <row r="16" ht="15" customHeight="1">
      <c r="A16" s="10" t="inlineStr">
        <is>
          <t>רשימה ערבית מאוחדת</t>
        </is>
      </c>
      <c r="B16" s="11" t="n">
        <v>0</v>
      </c>
      <c r="C16" s="10">
        <f>ROUND(B16,0)</f>
        <v/>
      </c>
      <c r="D16" s="10">
        <f>IF(C16&lt;=3,0,C16)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3"/>
  <sheetViews>
    <sheetView rightToLeft="1" tabSelected="1" topLeftCell="A175" zoomScaleNormal="100" workbookViewId="0">
      <selection activeCell="A205" sqref="A205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2" t="inlineStr">
        <is>
          <t>מפלגה</t>
        </is>
      </c>
      <c r="B1" s="12" t="inlineStr">
        <is>
          <t>מיקום</t>
        </is>
      </c>
      <c r="C1" s="12" t="inlineStr">
        <is>
          <t>שם</t>
        </is>
      </c>
      <c r="D1" s="12" t="inlineStr">
        <is>
          <t>מגדר</t>
        </is>
      </c>
      <c r="E1" s="12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</t>
        </is>
      </c>
    </row>
    <row r="18" ht="15" customHeight="1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</t>
        </is>
      </c>
    </row>
    <row r="19" ht="15" customHeight="1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</t>
        </is>
      </c>
    </row>
    <row r="20" ht="15" customHeight="1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</t>
        </is>
      </c>
    </row>
    <row r="21" ht="15" customHeight="1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</t>
        </is>
      </c>
    </row>
    <row r="22" ht="15" customHeight="1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</t>
        </is>
      </c>
    </row>
    <row r="23" ht="15" customHeight="1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</t>
        </is>
      </c>
    </row>
    <row r="24" ht="15" customHeight="1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</t>
        </is>
      </c>
    </row>
    <row r="25" ht="15" customHeight="1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</t>
        </is>
      </c>
    </row>
    <row r="26" ht="15" customHeight="1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</t>
        </is>
      </c>
    </row>
    <row r="27" ht="15" customHeight="1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</t>
        </is>
      </c>
    </row>
    <row r="28" ht="15" customHeight="1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</t>
        </is>
      </c>
    </row>
    <row r="29" ht="15" customHeight="1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</t>
        </is>
      </c>
    </row>
    <row r="30" ht="15" customHeight="1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</t>
        </is>
      </c>
    </row>
    <row r="31" ht="15" customHeight="1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</t>
        </is>
      </c>
    </row>
    <row r="32" ht="15" customHeight="1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</t>
        </is>
      </c>
    </row>
    <row r="33" ht="15" customHeight="1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</t>
        </is>
      </c>
    </row>
    <row r="34" ht="15" customHeight="1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</t>
        </is>
      </c>
    </row>
    <row r="35" ht="15" customHeight="1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</t>
        </is>
      </c>
    </row>
    <row r="36" ht="15" customHeight="1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 xml:space="preserve">חבר כנסת מכהן ביש עתיד (kan.org.il) </t>
        </is>
      </c>
    </row>
    <row r="37" ht="15" customHeight="1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</t>
        </is>
      </c>
    </row>
    <row r="38" ht="15" customHeight="1">
      <c r="A38" t="inlineStr">
        <is>
          <t>הדמוקרטים</t>
        </is>
      </c>
      <c r="B38" t="n">
        <v>1</v>
      </c>
      <c r="C38" t="inlineStr">
        <is>
          <t>יאיר גולן</t>
        </is>
      </c>
      <c r="D38" t="inlineStr">
        <is>
          <t>ז</t>
        </is>
      </c>
      <c r="E38" t="inlineStr">
        <is>
          <t>רשימה רשמית (democrats.org.il/team, נשלף 5.8.2026) - יו"ר המפלגה</t>
        </is>
      </c>
    </row>
    <row r="39" ht="15" customHeight="1">
      <c r="A39" t="inlineStr">
        <is>
          <t>הדמוקרטים</t>
        </is>
      </c>
      <c r="B39" t="n">
        <v>2</v>
      </c>
      <c r="C39" t="inlineStr">
        <is>
          <t>נעמה לזימי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3</v>
      </c>
      <c r="C40" t="inlineStr">
        <is>
          <t>גלעד קריב</t>
        </is>
      </c>
      <c r="D40" t="inlineStr">
        <is>
          <t>ז</t>
        </is>
      </c>
      <c r="E40" t="inlineStr">
        <is>
          <t>רשימה רשמית (democrats.org.il/team, נשלף 5.8.2026)</t>
        </is>
      </c>
    </row>
    <row r="41" ht="15" customHeight="1">
      <c r="A41" t="inlineStr">
        <is>
          <t>הדמוקרטים</t>
        </is>
      </c>
      <c r="B41" t="n">
        <v>4</v>
      </c>
      <c r="C41" t="inlineStr">
        <is>
          <t>אפרת רייטן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5</v>
      </c>
      <c r="C42" t="inlineStr">
        <is>
          <t>יאיר פינק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6</v>
      </c>
      <c r="C43" t="inlineStr">
        <is>
          <t>גבי לסקי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7</v>
      </c>
      <c r="C44" t="inlineStr">
        <is>
          <t>עמרי רונן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8</v>
      </c>
      <c r="C45" t="inlineStr">
        <is>
          <t>מיכל רוזין</t>
        </is>
      </c>
      <c r="D45" t="inlineStr">
        <is>
          <t>נ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9</v>
      </c>
      <c r="C46" t="inlineStr">
        <is>
          <t>משה רדמן אבוטבול</t>
        </is>
      </c>
      <c r="D46" t="inlineStr">
        <is>
          <t>ז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10</v>
      </c>
      <c r="C47" t="inlineStr">
        <is>
          <t>סומיה בשיר</t>
        </is>
      </c>
      <c r="D47" t="inlineStr">
        <is>
          <t>נ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הדמוקרטים</t>
        </is>
      </c>
      <c r="B48" t="n">
        <v>11</v>
      </c>
      <c r="C48" t="inlineStr">
        <is>
          <t>נמרוד שפר</t>
        </is>
      </c>
      <c r="D48" t="inlineStr">
        <is>
          <t>ז</t>
        </is>
      </c>
      <c r="E48" t="inlineStr">
        <is>
          <t>רשימה רשמית (democrats.org.il/team, נשלף 5.8.2026)</t>
        </is>
      </c>
    </row>
    <row r="49" ht="15" customHeight="1">
      <c r="A49" t="inlineStr">
        <is>
          <t>הדמוקרטים</t>
        </is>
      </c>
      <c r="B49" t="n">
        <v>12</v>
      </c>
      <c r="C49" t="inlineStr">
        <is>
          <t>מורן זר קצנשטיין</t>
        </is>
      </c>
      <c r="D49" t="inlineStr">
        <is>
          <t>נ</t>
        </is>
      </c>
      <c r="E49" t="inlineStr">
        <is>
          <t>רשימה רשמית (democrats.org.il/team, נשלף 5.8.2026)</t>
        </is>
      </c>
    </row>
    <row r="50" ht="15" customHeight="1">
      <c r="A50" t="inlineStr">
        <is>
          <t>הדמוקרטים</t>
        </is>
      </c>
      <c r="B50" t="n">
        <v>13</v>
      </c>
      <c r="C50" t="inlineStr">
        <is>
          <t>אבי דבוש</t>
        </is>
      </c>
      <c r="D50" t="inlineStr">
        <is>
          <t>ז</t>
        </is>
      </c>
      <c r="E50" t="inlineStr">
        <is>
          <t xml:space="preserve">רשימה רשמית (democrats.org.il/team, נשלף 5.8.2026) </t>
        </is>
      </c>
    </row>
    <row r="51" ht="15" customHeight="1">
      <c r="A51" t="inlineStr">
        <is>
          <t>הדמוקרטים</t>
        </is>
      </c>
      <c r="B51" t="n">
        <v>14</v>
      </c>
      <c r="C51" t="inlineStr">
        <is>
          <t>אמילי מואטי</t>
        </is>
      </c>
      <c r="D51" t="inlineStr">
        <is>
          <t>נ</t>
        </is>
      </c>
      <c r="E51" t="inlineStr">
        <is>
          <t>רשימה רשמית (democrats.org.il/team, נשלף 5.8.2026)</t>
        </is>
      </c>
    </row>
    <row r="52" ht="15" customHeight="1">
      <c r="A52" t="inlineStr">
        <is>
          <t>הדמוקרטים</t>
        </is>
      </c>
      <c r="B52" t="n">
        <v>15</v>
      </c>
      <c r="C52" t="inlineStr">
        <is>
          <t>תומר אביטל</t>
        </is>
      </c>
      <c r="D52" t="inlineStr">
        <is>
          <t>ז</t>
        </is>
      </c>
      <c r="E52" t="inlineStr">
        <is>
          <t>רשימה רשמית (democrats.org.il/team, נשלף 5.8.2026)</t>
        </is>
      </c>
    </row>
    <row r="53" ht="15" customHeight="1">
      <c r="A53" t="inlineStr">
        <is>
          <t>הדמוקרטים</t>
        </is>
      </c>
      <c r="B53" t="n">
        <v>16</v>
      </c>
      <c r="C53" t="inlineStr">
        <is>
          <t>נאווה רוזוליו</t>
        </is>
      </c>
      <c r="D53" t="inlineStr">
        <is>
          <t>נ</t>
        </is>
      </c>
      <c r="E53" t="inlineStr">
        <is>
          <t>רשימה רשמית (democrats.org.il/team, נשלף 5.8.2026)</t>
        </is>
      </c>
    </row>
    <row r="54" ht="15" customHeight="1">
      <c r="A54" t="inlineStr">
        <is>
          <t>הדמוקרטים</t>
        </is>
      </c>
      <c r="B54" t="n">
        <v>17</v>
      </c>
      <c r="C54" t="inlineStr">
        <is>
          <t>רם שפע</t>
        </is>
      </c>
      <c r="D54" t="inlineStr">
        <is>
          <t>ז</t>
        </is>
      </c>
      <c r="E54" t="inlineStr">
        <is>
          <t>רשימה רשמית (democrats.org.il/team, נשלף 5.8.2026)</t>
        </is>
      </c>
    </row>
    <row r="55" ht="15" customHeight="1">
      <c r="A55" t="inlineStr">
        <is>
          <t>הדמוקרטים</t>
        </is>
      </c>
      <c r="B55" t="n">
        <v>18</v>
      </c>
      <c r="C55" t="inlineStr">
        <is>
          <t>עלי סלאלחה</t>
        </is>
      </c>
      <c r="D55" t="inlineStr">
        <is>
          <t>ז</t>
        </is>
      </c>
      <c r="E55" t="inlineStr">
        <is>
          <t>רשימה רשמית (democrats.org.il/team, נשלף 5.8.2026)</t>
        </is>
      </c>
    </row>
    <row r="56" ht="15" customHeight="1">
      <c r="A56" t="inlineStr">
        <is>
          <t>הדמוקרטים</t>
        </is>
      </c>
      <c r="B56" t="n">
        <v>19</v>
      </c>
      <c r="C56" t="inlineStr">
        <is>
          <t>רתם סיון</t>
        </is>
      </c>
      <c r="D56" t="inlineStr">
        <is>
          <t>נ</t>
        </is>
      </c>
      <c r="E56" t="inlineStr">
        <is>
          <t>רשימה רשמית (democrats.org.il/team, נשלף 5.8.2026)</t>
        </is>
      </c>
    </row>
    <row r="57" ht="15" customHeight="1">
      <c r="A57" t="inlineStr">
        <is>
          <t>הדמוקרטים</t>
        </is>
      </c>
      <c r="B57" t="n">
        <v>20</v>
      </c>
      <c r="C57" t="inlineStr">
        <is>
          <t>ערן עציון</t>
        </is>
      </c>
      <c r="D57" t="inlineStr">
        <is>
          <t>ז</t>
        </is>
      </c>
      <c r="E57" t="inlineStr">
        <is>
          <t>רשימה רשמית (democrats.org.il/team, נשלף 5.8.2026)</t>
        </is>
      </c>
    </row>
    <row r="58" ht="15" customHeight="1">
      <c r="A58" t="inlineStr">
        <is>
          <t>הליכוד</t>
        </is>
      </c>
      <c r="B58" t="n">
        <v>1</v>
      </c>
      <c r="C58" t="inlineStr">
        <is>
          <t>בנימין נתניהו</t>
        </is>
      </c>
      <c r="D58" t="inlineStr">
        <is>
          <t>ז</t>
        </is>
      </c>
      <c r="E58" t="inlineStr">
        <is>
          <t>Party leader</t>
        </is>
      </c>
    </row>
    <row r="59" ht="15" customHeight="1">
      <c r="A59" t="inlineStr">
        <is>
          <t>הליכוד</t>
        </is>
      </c>
      <c r="B59" t="n">
        <v>2</v>
      </c>
      <c r="C59" t="inlineStr">
        <is>
          <t>אלי כהן</t>
        </is>
      </c>
      <c r="D59" t="inlineStr">
        <is>
          <t>ז</t>
        </is>
      </c>
    </row>
    <row r="60" ht="15" customHeight="1">
      <c r="A60" t="inlineStr">
        <is>
          <t>הליכוד</t>
        </is>
      </c>
      <c r="B60" t="n">
        <v>3</v>
      </c>
      <c r="C60" t="inlineStr">
        <is>
          <t>שריון - טרם ידוע</t>
        </is>
      </c>
      <c r="D60" t="inlineStr">
        <is>
          <t>ז</t>
        </is>
      </c>
      <c r="E60" t="inlineStr">
        <is>
          <t>Leader-reserved slot</t>
        </is>
      </c>
    </row>
    <row r="61" ht="15" customHeight="1">
      <c r="A61" t="inlineStr">
        <is>
          <t>הליכוד</t>
        </is>
      </c>
      <c r="B61" t="n">
        <v>4</v>
      </c>
      <c r="C61" t="inlineStr">
        <is>
          <t>ישראל כ"ץ</t>
        </is>
      </c>
      <c r="D61" t="inlineStr">
        <is>
          <t>ז</t>
        </is>
      </c>
      <c r="E61" t="inlineStr">
        <is>
          <t>Leader-reserved slot</t>
        </is>
      </c>
    </row>
    <row r="62" ht="15" customHeight="1">
      <c r="A62" t="inlineStr">
        <is>
          <t>הליכוד</t>
        </is>
      </c>
      <c r="B62" t="n">
        <v>5</v>
      </c>
      <c r="C62" t="inlineStr">
        <is>
          <t>גדעון סער</t>
        </is>
      </c>
      <c r="D62" t="inlineStr">
        <is>
          <t>ז</t>
        </is>
      </c>
      <c r="E62" t="inlineStr">
        <is>
          <t>Leader-reserved slot</t>
        </is>
      </c>
    </row>
    <row r="63" ht="15" customHeight="1">
      <c r="A63" t="inlineStr">
        <is>
          <t>הליכוד</t>
        </is>
      </c>
      <c r="B63" t="n">
        <v>6</v>
      </c>
      <c r="C63" t="inlineStr">
        <is>
          <t>אמיר אוחנה</t>
        </is>
      </c>
      <c r="D63" t="inlineStr">
        <is>
          <t>ז</t>
        </is>
      </c>
    </row>
    <row r="64" ht="15" customHeight="1">
      <c r="A64" t="inlineStr">
        <is>
          <t>הליכוד</t>
        </is>
      </c>
      <c r="B64" t="n">
        <v>7</v>
      </c>
      <c r="C64" t="inlineStr">
        <is>
          <t>יריב לוין</t>
        </is>
      </c>
      <c r="D64" t="inlineStr">
        <is>
          <t>ז</t>
        </is>
      </c>
    </row>
    <row r="65" ht="15" customHeight="1">
      <c r="A65" t="inlineStr">
        <is>
          <t>הליכוד</t>
        </is>
      </c>
      <c r="B65" t="n">
        <v>8</v>
      </c>
      <c r="C65" t="inlineStr">
        <is>
          <t>מירי רגב</t>
        </is>
      </c>
      <c r="D65" t="inlineStr">
        <is>
          <t>נ</t>
        </is>
      </c>
    </row>
    <row r="66" ht="15" customHeight="1">
      <c r="A66" t="inlineStr">
        <is>
          <t>הליכוד</t>
        </is>
      </c>
      <c r="B66" t="n">
        <v>9</v>
      </c>
      <c r="C66" t="inlineStr">
        <is>
          <t>שריון - טרם ידוע</t>
        </is>
      </c>
      <c r="D66" t="inlineStr">
        <is>
          <t>ז</t>
        </is>
      </c>
      <c r="E66" t="inlineStr">
        <is>
          <t>Leader-reserved slot</t>
        </is>
      </c>
    </row>
    <row r="67" ht="15" customHeight="1">
      <c r="A67" t="inlineStr">
        <is>
          <t>הליכוד</t>
        </is>
      </c>
      <c r="B67" t="n">
        <v>10</v>
      </c>
      <c r="C67" t="inlineStr">
        <is>
          <t>אופיר כץ</t>
        </is>
      </c>
      <c r="D67" t="inlineStr">
        <is>
          <t>ז</t>
        </is>
      </c>
    </row>
    <row r="68" ht="15" customHeight="1">
      <c r="A68" t="inlineStr">
        <is>
          <t>הליכוד</t>
        </is>
      </c>
      <c r="B68" t="n">
        <v>11</v>
      </c>
      <c r="C68" t="inlineStr">
        <is>
          <t>אורן דוברונסקי</t>
        </is>
      </c>
      <c r="D68" t="inlineStr">
        <is>
          <t>ז</t>
        </is>
      </c>
      <c r="E68" t="inlineStr">
        <is>
          <t>Leader-reserved slot</t>
        </is>
      </c>
    </row>
    <row r="69" ht="15" customHeight="1">
      <c r="A69" t="inlineStr">
        <is>
          <t>הליכוד</t>
        </is>
      </c>
      <c r="B69" t="n">
        <v>12</v>
      </c>
      <c r="C69" t="inlineStr">
        <is>
          <t>יואב קיש</t>
        </is>
      </c>
      <c r="D69" t="inlineStr">
        <is>
          <t>ז</t>
        </is>
      </c>
    </row>
    <row r="70" ht="15" customHeight="1">
      <c r="A70" t="inlineStr">
        <is>
          <t>הליכוד</t>
        </is>
      </c>
      <c r="B70" t="n">
        <v>13</v>
      </c>
      <c r="C70" t="inlineStr">
        <is>
          <t>מיקי זהר</t>
        </is>
      </c>
      <c r="D70" t="inlineStr">
        <is>
          <t>ז</t>
        </is>
      </c>
    </row>
    <row r="71" ht="15" customHeight="1">
      <c r="A71" t="inlineStr">
        <is>
          <t>הליכוד</t>
        </is>
      </c>
      <c r="B71" t="n">
        <v>14</v>
      </c>
      <c r="C71" t="inlineStr">
        <is>
          <t>אלמוג כהן</t>
        </is>
      </c>
      <c r="D71" t="inlineStr">
        <is>
          <t>ז</t>
        </is>
      </c>
    </row>
    <row r="72" ht="15" customHeight="1">
      <c r="A72" t="inlineStr">
        <is>
          <t>הליכוד</t>
        </is>
      </c>
      <c r="B72" t="n">
        <v>15</v>
      </c>
      <c r="C72" t="inlineStr">
        <is>
          <t>שריון - טרם ידוע</t>
        </is>
      </c>
      <c r="D72" t="inlineStr">
        <is>
          <t>ז</t>
        </is>
      </c>
      <c r="E72" t="inlineStr">
        <is>
          <t>Leader-reserved slot</t>
        </is>
      </c>
    </row>
    <row r="73" ht="15" customHeight="1">
      <c r="A73" t="inlineStr">
        <is>
          <t>הליכוד</t>
        </is>
      </c>
      <c r="B73" t="n">
        <v>16</v>
      </c>
      <c r="C73" t="inlineStr">
        <is>
          <t>עמיחי שיקלי</t>
        </is>
      </c>
      <c r="D73" t="inlineStr">
        <is>
          <t>ז</t>
        </is>
      </c>
    </row>
    <row r="74" ht="15" customHeight="1">
      <c r="A74" t="inlineStr">
        <is>
          <t>הליכוד</t>
        </is>
      </c>
      <c r="B74" t="n">
        <v>17</v>
      </c>
      <c r="C74" t="inlineStr">
        <is>
          <t>דוד אמסלם</t>
        </is>
      </c>
      <c r="D74" t="inlineStr">
        <is>
          <t>ז</t>
        </is>
      </c>
    </row>
    <row r="75" ht="15" customHeight="1">
      <c r="A75" t="inlineStr">
        <is>
          <t>הליכוד</t>
        </is>
      </c>
      <c r="B75" t="n">
        <v>18</v>
      </c>
      <c r="C75" t="inlineStr">
        <is>
          <t>חיים כץ</t>
        </is>
      </c>
      <c r="D75" t="inlineStr">
        <is>
          <t>ז</t>
        </is>
      </c>
      <c r="E75" t="inlineStr">
        <is>
          <t>Leader-reserved slot</t>
        </is>
      </c>
    </row>
    <row r="76" ht="15" customHeight="1">
      <c r="A76" t="inlineStr">
        <is>
          <t>הליכוד</t>
        </is>
      </c>
      <c r="B76" t="n">
        <v>19</v>
      </c>
      <c r="C76" t="inlineStr">
        <is>
          <t>משה סעדה</t>
        </is>
      </c>
      <c r="D76" t="inlineStr">
        <is>
          <t>ז</t>
        </is>
      </c>
    </row>
    <row r="77" ht="15" customHeight="1">
      <c r="A77" t="inlineStr">
        <is>
          <t>הליכוד</t>
        </is>
      </c>
      <c r="B77" t="n">
        <v>20</v>
      </c>
      <c r="C77" t="inlineStr">
        <is>
          <t>טלי גוטליב</t>
        </is>
      </c>
      <c r="D77" t="inlineStr">
        <is>
          <t>נ</t>
        </is>
      </c>
    </row>
    <row r="78" ht="15" customHeight="1">
      <c r="A78" t="inlineStr">
        <is>
          <t>הליכוד</t>
        </is>
      </c>
      <c r="B78" t="n">
        <v>21</v>
      </c>
      <c r="C78" t="inlineStr">
        <is>
          <t>שלמה קרעי</t>
        </is>
      </c>
      <c r="D78" t="inlineStr">
        <is>
          <t>ז</t>
        </is>
      </c>
    </row>
    <row r="79" ht="15" customHeight="1">
      <c r="A79" t="inlineStr">
        <is>
          <t>הליכוד</t>
        </is>
      </c>
      <c r="B79" t="n">
        <v>22</v>
      </c>
      <c r="C79" t="inlineStr">
        <is>
          <t>בועז ביסמוט</t>
        </is>
      </c>
      <c r="D79" t="inlineStr">
        <is>
          <t>ז</t>
        </is>
      </c>
    </row>
    <row r="80" ht="15" customHeight="1">
      <c r="A80" t="inlineStr">
        <is>
          <t>הליכוד</t>
        </is>
      </c>
      <c r="B80" t="n">
        <v>23</v>
      </c>
      <c r="C80" t="inlineStr">
        <is>
          <t>דוד ביטן</t>
        </is>
      </c>
      <c r="D80" t="inlineStr">
        <is>
          <t>ז</t>
        </is>
      </c>
    </row>
    <row r="81" ht="15" customHeight="1">
      <c r="A81" t="inlineStr">
        <is>
          <t>הליכוד</t>
        </is>
      </c>
      <c r="B81" t="n">
        <v>24</v>
      </c>
      <c r="C81" t="inlineStr">
        <is>
          <t>ניר ברקת</t>
        </is>
      </c>
      <c r="D81" t="inlineStr">
        <is>
          <t>ז</t>
        </is>
      </c>
    </row>
    <row r="82" ht="15" customHeight="1">
      <c r="A82" t="inlineStr">
        <is>
          <t>הליכוד</t>
        </is>
      </c>
      <c r="B82" t="n">
        <v>25</v>
      </c>
      <c r="C82" t="inlineStr">
        <is>
          <t>גילה גמליאל</t>
        </is>
      </c>
      <c r="D82" t="inlineStr">
        <is>
          <t>נ</t>
        </is>
      </c>
    </row>
    <row r="83" ht="15" customHeight="1">
      <c r="A83" t="inlineStr">
        <is>
          <t>הליכוד</t>
        </is>
      </c>
      <c r="B83" t="n">
        <v>26</v>
      </c>
      <c r="C83" t="inlineStr">
        <is>
          <t>שריון - טרם ידוע</t>
        </is>
      </c>
      <c r="D83" t="inlineStr">
        <is>
          <t>ז</t>
        </is>
      </c>
      <c r="E83" t="inlineStr">
        <is>
          <t>Leader-reserved slot (beyond top 25)</t>
        </is>
      </c>
    </row>
    <row r="84" ht="15" customHeight="1">
      <c r="A84" t="inlineStr">
        <is>
          <t>הליכוד</t>
        </is>
      </c>
      <c r="B84" t="n">
        <v>27</v>
      </c>
      <c r="C84" t="inlineStr">
        <is>
          <t>ארז תגמור</t>
        </is>
      </c>
      <c r="D84" t="inlineStr">
        <is>
          <t>ז</t>
        </is>
      </c>
    </row>
    <row r="85" ht="15" customHeight="1">
      <c r="A85" t="inlineStr">
        <is>
          <t>הליכוד</t>
        </is>
      </c>
      <c r="B85" t="n">
        <v>28</v>
      </c>
      <c r="C85" t="inlineStr">
        <is>
          <t>שלמה לרנר</t>
        </is>
      </c>
      <c r="D85" t="inlineStr">
        <is>
          <t>ז</t>
        </is>
      </c>
    </row>
    <row r="86" ht="15" customHeight="1">
      <c r="A86" t="inlineStr">
        <is>
          <t>הליכוד</t>
        </is>
      </c>
      <c r="B86" t="n">
        <v>29</v>
      </c>
      <c r="C86" t="inlineStr">
        <is>
          <t>שריון - טרם ידוע</t>
        </is>
      </c>
      <c r="D86" t="inlineStr">
        <is>
          <t>ז</t>
        </is>
      </c>
      <c r="E86" t="inlineStr">
        <is>
          <t>Leader-reserved slot</t>
        </is>
      </c>
    </row>
    <row r="87" ht="15" customHeight="1">
      <c r="A87" t="inlineStr">
        <is>
          <t>הליכוד</t>
        </is>
      </c>
      <c r="B87" t="n">
        <v>30</v>
      </c>
      <c r="C87" t="inlineStr">
        <is>
          <t>שוקי אוחנה</t>
        </is>
      </c>
      <c r="D87" t="inlineStr">
        <is>
          <t>ז</t>
        </is>
      </c>
    </row>
    <row r="88" ht="15" customHeight="1">
      <c r="A88" t="inlineStr">
        <is>
          <t>הליכוד</t>
        </is>
      </c>
      <c r="B88" t="n">
        <v>31</v>
      </c>
      <c r="C88" t="inlineStr">
        <is>
          <t>משה בנימין פרץ</t>
        </is>
      </c>
      <c r="D88" t="inlineStr">
        <is>
          <t>ז</t>
        </is>
      </c>
    </row>
    <row r="89" ht="15" customHeight="1">
      <c r="A89" t="inlineStr">
        <is>
          <t>הליכוד</t>
        </is>
      </c>
      <c r="B89" t="n">
        <v>32</v>
      </c>
      <c r="C89" t="inlineStr">
        <is>
          <t>זאב אלקין</t>
        </is>
      </c>
      <c r="D89" t="inlineStr">
        <is>
          <t>ז</t>
        </is>
      </c>
    </row>
    <row r="90" ht="15" customHeight="1">
      <c r="A90" t="inlineStr">
        <is>
          <t>הליכוד</t>
        </is>
      </c>
      <c r="B90" t="n">
        <v>33</v>
      </c>
      <c r="C90" t="inlineStr">
        <is>
          <t>עמית הלוי</t>
        </is>
      </c>
      <c r="D90" t="inlineStr">
        <is>
          <t>ז</t>
        </is>
      </c>
    </row>
    <row r="91" ht="15" customHeight="1">
      <c r="A91" t="inlineStr">
        <is>
          <t>הליכוד</t>
        </is>
      </c>
      <c r="B91" t="n">
        <v>34</v>
      </c>
      <c r="C91" t="inlineStr">
        <is>
          <t>קרן אטיאס בובליל</t>
        </is>
      </c>
      <c r="D91" t="inlineStr">
        <is>
          <t>נ</t>
        </is>
      </c>
      <c r="E91" t="inlineStr">
        <is>
          <t>Explicit "new woman" placeholder per the graphic itself - not a named person</t>
        </is>
      </c>
    </row>
    <row r="92" ht="15" customHeight="1">
      <c r="A92" t="inlineStr">
        <is>
          <t>הליכוד</t>
        </is>
      </c>
      <c r="B92" t="n">
        <v>35</v>
      </c>
      <c r="C92" t="inlineStr">
        <is>
          <t>אביחי בוארון</t>
        </is>
      </c>
      <c r="D92" t="inlineStr">
        <is>
          <t>ז</t>
        </is>
      </c>
    </row>
    <row r="93" ht="15" customHeight="1">
      <c r="A93" t="inlineStr">
        <is>
          <t>הציונות הדתית</t>
        </is>
      </c>
      <c r="B93" t="n">
        <v>1</v>
      </c>
      <c r="C93" t="inlineStr">
        <is>
          <t>בצלאל סמוטריץ׳</t>
        </is>
      </c>
      <c r="D93" t="inlineStr">
        <is>
          <t>ז</t>
        </is>
      </c>
      <c r="E9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>
      <c r="A94" t="inlineStr">
        <is>
          <t>הציונות הדתית</t>
        </is>
      </c>
      <c r="B94" t="n">
        <v>2</v>
      </c>
      <c r="C94" t="inlineStr">
        <is>
          <t>משוריין</t>
        </is>
      </c>
      <c r="D94" t="inlineStr">
        <is>
          <t>ז</t>
        </is>
      </c>
      <c r="E94" t="inlineStr">
        <is>
      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      </is>
      </c>
    </row>
    <row r="95" ht="15" customHeight="1">
      <c r="A95" t="inlineStr">
        <is>
          <t>הציונות הדתית</t>
        </is>
      </c>
      <c r="B95" t="n">
        <v>3</v>
      </c>
      <c r="C95" t="inlineStr">
        <is>
          <t>אורית סטרוק</t>
        </is>
      </c>
      <c r="D95" t="inlineStr">
        <is>
          <t>נ</t>
        </is>
      </c>
      <c r="E9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>
      <c r="A96" t="inlineStr">
        <is>
          <t>הציונות הדתית</t>
        </is>
      </c>
      <c r="B96" t="n">
        <v>4</v>
      </c>
      <c r="C96" t="inlineStr">
        <is>
          <t>צביקה מור</t>
        </is>
      </c>
      <c r="D96" t="inlineStr">
        <is>
          <t>ז</t>
        </is>
      </c>
      <c r="E9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>
      <c r="A97" t="inlineStr">
        <is>
          <t>הציונות הדתית</t>
        </is>
      </c>
      <c r="B97" t="n">
        <v>5</v>
      </c>
      <c r="C97" t="inlineStr">
        <is>
          <t>שמחה רוטמן</t>
        </is>
      </c>
      <c r="D97" t="inlineStr">
        <is>
          <t>ז</t>
        </is>
      </c>
      <c r="E9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>
      <c r="A98" t="inlineStr">
        <is>
          <t>הציונות הדתית</t>
        </is>
      </c>
      <c r="B98" t="n">
        <v>6</v>
      </c>
      <c r="C98" t="inlineStr">
        <is>
          <t>צבי סוכות</t>
        </is>
      </c>
      <c r="D98" t="inlineStr">
        <is>
          <t>ז</t>
        </is>
      </c>
      <c r="E9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>
      <c r="A99" t="inlineStr">
        <is>
          <t>הציונות הדתית</t>
        </is>
      </c>
      <c r="B99" t="n">
        <v>7</v>
      </c>
      <c r="C99" t="inlineStr">
        <is>
          <t>אוהד טל</t>
        </is>
      </c>
      <c r="D99" t="inlineStr">
        <is>
          <t>ז</t>
        </is>
      </c>
      <c r="E9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>
      <c r="A100" t="inlineStr">
        <is>
          <t>הציונות הדתית</t>
        </is>
      </c>
      <c r="B100" t="n">
        <v>8</v>
      </c>
      <c r="C100" t="inlineStr">
        <is>
          <t>עומר רחמים</t>
        </is>
      </c>
      <c r="D100" t="inlineStr">
        <is>
          <t>ז</t>
        </is>
      </c>
      <c r="E10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>
      <c r="A101" t="inlineStr">
        <is>
          <t>הציונות הדתית</t>
        </is>
      </c>
      <c r="B101" t="n">
        <v>9</v>
      </c>
      <c r="C101" t="inlineStr">
        <is>
          <t>מיכל וולדיגר</t>
        </is>
      </c>
      <c r="D101" t="inlineStr">
        <is>
          <t>נ</t>
        </is>
      </c>
      <c r="E10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>
      <c r="A102" t="inlineStr">
        <is>
          <t>הציונות הדתית</t>
        </is>
      </c>
      <c r="B102" t="n">
        <v>10</v>
      </c>
      <c r="C102" t="inlineStr">
        <is>
          <t>שמואל ששון</t>
        </is>
      </c>
      <c r="D102" t="inlineStr">
        <is>
          <t>ז</t>
        </is>
      </c>
      <c r="E10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>
      <c r="A103" t="inlineStr">
        <is>
          <t>הציונות הדתית</t>
        </is>
      </c>
      <c r="B103" t="n">
        <v>11</v>
      </c>
      <c r="C103" t="inlineStr">
        <is>
          <t>צביקה וישנגרד</t>
        </is>
      </c>
      <c r="D103" t="inlineStr">
        <is>
          <t>ז</t>
        </is>
      </c>
      <c r="E10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>
      <c r="A104" t="inlineStr">
        <is>
          <t>הציונות הדתית</t>
        </is>
      </c>
      <c r="B104" t="n">
        <v>12</v>
      </c>
      <c r="C104" t="inlineStr">
        <is>
          <t>איתן תם</t>
        </is>
      </c>
      <c r="D104" t="inlineStr">
        <is>
          <t>ז</t>
        </is>
      </c>
      <c r="E10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5" ht="15" customHeight="1">
      <c r="A105" t="inlineStr">
        <is>
          <t>הציונות הדתית</t>
        </is>
      </c>
      <c r="B105" t="n">
        <v>13</v>
      </c>
      <c r="C105" t="inlineStr">
        <is>
          <t>נתן זאובמן</t>
        </is>
      </c>
      <c r="D105" t="inlineStr">
        <is>
          <t>ז</t>
        </is>
      </c>
      <c r="E10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6" ht="15" customHeight="1">
      <c r="A106" t="inlineStr">
        <is>
          <t>חדש תע"ל</t>
        </is>
      </c>
      <c r="B106" t="n">
        <v>1</v>
      </c>
      <c r="C106" t="inlineStr">
        <is>
          <t>יוסף ג'בארין</t>
        </is>
      </c>
      <c r="D106" t="inlineStr">
        <is>
          <t>ז</t>
        </is>
      </c>
      <c r="E106" t="inlineStr">
        <is>
          <t>רשימה רשמית (אתר חד"ש) + טיבי הוכנס במיקום 2 לבקשת המשתמש - hadash.org.il/list</t>
        </is>
      </c>
    </row>
    <row r="107" ht="15" customHeight="1">
      <c r="A107" t="inlineStr">
        <is>
          <t>חדש תע"ל</t>
        </is>
      </c>
      <c r="B107" t="n">
        <v>2</v>
      </c>
      <c r="C107" t="inlineStr">
        <is>
          <t>אחמד טיבי</t>
        </is>
      </c>
      <c r="D107" t="inlineStr">
        <is>
          <t>ז</t>
        </is>
      </c>
      <c r="E107" t="inlineStr">
        <is>
          <t>תע"ל - הוכנס ידנית במיקום 2 לפי בקשת המשתמש</t>
        </is>
      </c>
    </row>
    <row r="108" ht="15" customHeight="1">
      <c r="A108" t="inlineStr">
        <is>
          <t>חדש תע"ל</t>
        </is>
      </c>
      <c r="B108" t="n">
        <v>3</v>
      </c>
      <c r="C108" t="inlineStr">
        <is>
          <t>סמי אבו שחדה</t>
        </is>
      </c>
      <c r="D108" t="inlineStr">
        <is>
          <t>ז</t>
        </is>
      </c>
      <c r="E108" t="inlineStr">
        <is>
          <t>בל"ד, לא סופי</t>
        </is>
      </c>
    </row>
    <row r="109" ht="15" customHeight="1">
      <c r="A109" t="inlineStr">
        <is>
          <t>חדש תע"ל</t>
        </is>
      </c>
      <c r="B109" t="n">
        <v>4</v>
      </c>
      <c r="C109" t="inlineStr">
        <is>
          <t>ג'עפר פרח</t>
        </is>
      </c>
      <c r="D109" t="inlineStr">
        <is>
          <t>ז</t>
        </is>
      </c>
      <c r="E109" t="inlineStr">
        <is>
          <t>רשימה רשמית (אתר חד"ש) + הסכם עם תעל ובלד שלא נחתם עדיין - hadash.org.il/list</t>
        </is>
      </c>
    </row>
    <row r="110" ht="15" customHeight="1">
      <c r="A110" t="inlineStr">
        <is>
          <t>חדש תע"ל</t>
        </is>
      </c>
      <c r="B110" t="n">
        <v>5</v>
      </c>
      <c r="C110" t="inlineStr">
        <is>
          <t>בכר אסוועדה</t>
        </is>
      </c>
      <c r="D110" t="inlineStr">
        <is>
          <t>ז</t>
        </is>
      </c>
      <c r="E110" t="inlineStr">
        <is>
          <t>בל"ד, לא סופי</t>
        </is>
      </c>
    </row>
    <row r="111" ht="15" customHeight="1">
      <c r="A111" t="inlineStr">
        <is>
          <t>חדש תע"ל</t>
        </is>
      </c>
      <c r="B111" t="n">
        <v>6</v>
      </c>
      <c r="C111" t="inlineStr">
        <is>
          <t>עופר כסיף</t>
        </is>
      </c>
      <c r="D111" t="inlineStr">
        <is>
          <t>ז</t>
        </is>
      </c>
      <c r="E111" t="inlineStr">
        <is>
          <t>רשימה רשמית (אתר חד"ש) + הסכם עם תעל ובלד שלא נחתם עדיין - hadash.org.il/list</t>
        </is>
      </c>
    </row>
    <row r="112" ht="15" customHeight="1">
      <c r="A112" t="inlineStr">
        <is>
          <t>חדש תע"ל</t>
        </is>
      </c>
      <c r="B112" t="n">
        <v>7</v>
      </c>
      <c r="C112" t="inlineStr">
        <is>
          <t>יוסף עטאונה</t>
        </is>
      </c>
      <c r="D112" t="inlineStr">
        <is>
          <t>ז</t>
        </is>
      </c>
      <c r="E112" t="inlineStr">
        <is>
          <t>רשימה רשמית (אתר חד"ש) + הסכם עם תעל ובלד שלא נחתם עדיין - hadash.org.il/list</t>
        </is>
      </c>
    </row>
    <row r="113" ht="15" customHeight="1">
      <c r="A113" t="inlineStr">
        <is>
          <t>חדש תע"ל</t>
        </is>
      </c>
      <c r="B113" t="n">
        <v>8</v>
      </c>
      <c r="C113" t="inlineStr">
        <is>
          <t>מהא כרכבי</t>
        </is>
      </c>
      <c r="D113" t="inlineStr">
        <is>
          <t>נ</t>
        </is>
      </c>
      <c r="E113" t="inlineStr">
        <is>
          <t>בל"ד, לא סופי</t>
        </is>
      </c>
    </row>
    <row r="114" ht="15" customHeight="1">
      <c r="A114" t="inlineStr">
        <is>
          <t>חדש תע"ל</t>
        </is>
      </c>
      <c r="B114" t="n">
        <v>9</v>
      </c>
      <c r="C114" t="inlineStr">
        <is>
          <t>נהאיה ושאחי</t>
        </is>
      </c>
      <c r="D114" t="inlineStr">
        <is>
          <t>נ</t>
        </is>
      </c>
      <c r="E114" t="inlineStr">
        <is>
          <t>רשימה רשמית (אתר חד"ש) + הסכם עם תעל ובלד שלא נחתם עדיין - hadash.org.il/list</t>
        </is>
      </c>
    </row>
    <row r="115" ht="15" customHeight="1">
      <c r="A115" t="inlineStr">
        <is>
          <t>חדש תע"ל</t>
        </is>
      </c>
      <c r="B115" t="n">
        <v>10</v>
      </c>
      <c r="C115" t="inlineStr">
        <is>
          <t>איאס נאטור</t>
        </is>
      </c>
      <c r="D115" t="inlineStr">
        <is>
          <t>ז</t>
        </is>
      </c>
      <c r="E115" t="inlineStr">
        <is>
          <t>רשימה רשמית (אתר חד"ש) + הסכם עם תעל ובלד שלא נחתם עדיין - hadash.org.il/list</t>
        </is>
      </c>
    </row>
    <row r="116" ht="15" customHeight="1">
      <c r="A116" t="inlineStr">
        <is>
          <t>טרופר-הנדל</t>
        </is>
      </c>
      <c r="B116" t="n">
        <v>1</v>
      </c>
      <c r="C116" t="inlineStr">
        <is>
          <t>חילי טרופר</t>
        </is>
      </c>
      <c r="D116" t="inlineStr">
        <is>
          <t>ז</t>
        </is>
      </c>
      <c r="E116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17" ht="15" customHeight="1">
      <c r="A117" t="inlineStr">
        <is>
          <t>טרופר-הנדל</t>
        </is>
      </c>
      <c r="B117" t="n">
        <v>2</v>
      </c>
      <c r="C117" t="inlineStr">
        <is>
          <t>יועז הנדל</t>
        </is>
      </c>
      <c r="D117" t="inlineStr">
        <is>
          <t>ז</t>
        </is>
      </c>
      <c r="E117" t="inlineStr">
        <is>
          <t>מייסד ומנהיג משותף; יו"ר מפלגת 'המילואימניקים' לשעבר, שר לשעבר (ynet h1f79pligx)</t>
        </is>
      </c>
    </row>
    <row r="118" ht="15" customHeight="1">
      <c r="A118" t="inlineStr">
        <is>
          <t>טרופר-הנדל</t>
        </is>
      </c>
      <c r="B118" t="n">
        <v>3</v>
      </c>
      <c r="C118" t="inlineStr">
        <is>
          <t>אליסף פרץ</t>
        </is>
      </c>
      <c r="D118" t="inlineStr">
        <is>
          <t>ז</t>
        </is>
      </c>
      <c r="E118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19" ht="15" customHeight="1">
      <c r="A119" t="inlineStr">
        <is>
          <t>טרופר-הנדל</t>
        </is>
      </c>
      <c r="B119" t="n">
        <v>4</v>
      </c>
      <c r="C119" t="inlineStr">
        <is>
          <t>שירה שפירא</t>
        </is>
      </c>
      <c r="D119" t="inlineStr">
        <is>
          <t>נ</t>
        </is>
      </c>
      <c r="E119" t="inlineStr">
        <is>
          <t>מייסדת; אמו של ענר שפירא ז"ל, אדריכלית ומתכננת ערים - הצטרפה למהלך (ynet s1enybqxzl)</t>
        </is>
      </c>
    </row>
    <row r="120" ht="15" customHeight="1">
      <c r="A120" t="inlineStr">
        <is>
          <t>טרופר-הנדל</t>
        </is>
      </c>
      <c r="B120" t="n">
        <v>5</v>
      </c>
      <c r="C120" t="inlineStr">
        <is>
          <t>אסף זמיר</t>
        </is>
      </c>
      <c r="D120" t="inlineStr">
        <is>
          <t>ז</t>
        </is>
      </c>
      <c r="E120" t="inlineStr">
        <is>
          <t>מייסד; שר לשעבר, ממלא מקום ראש עיריית תל אביב (ynet s1enybqxzl)</t>
        </is>
      </c>
    </row>
    <row r="121" ht="15" customHeight="1">
      <c r="A121" t="inlineStr">
        <is>
          <t>טרופר-הנדל</t>
        </is>
      </c>
      <c r="B121" t="n">
        <v>6</v>
      </c>
      <c r="C121" t="inlineStr">
        <is>
          <t>יפתח רמון</t>
        </is>
      </c>
      <c r="D121" t="inlineStr">
        <is>
          <t>ז</t>
        </is>
      </c>
      <c r="E121" t="inlineStr">
        <is>
          <t>מייסד; בנם של אילן רמון ורונה רמון (ynet s1enybqxzl)</t>
        </is>
      </c>
    </row>
    <row r="122" ht="15" customHeight="1">
      <c r="A122" t="inlineStr">
        <is>
          <t>טרופר-הנדל</t>
        </is>
      </c>
      <c r="B122" t="n">
        <v>7</v>
      </c>
      <c r="C122" t="inlineStr">
        <is>
          <t>דנה סיטון סילברמן</t>
        </is>
      </c>
      <c r="D122" t="inlineStr">
        <is>
          <t>נ</t>
        </is>
      </c>
      <c r="E122" t="inlineStr">
        <is>
          <t>מייסדת; אחותה של שירי ביבס (ynet s1enybqxzl)</t>
        </is>
      </c>
    </row>
    <row r="123" ht="15" customHeight="1">
      <c r="A123" t="inlineStr">
        <is>
          <t>טרופר-הנדל</t>
        </is>
      </c>
      <c r="B123" t="n">
        <v>8</v>
      </c>
      <c r="C123" t="inlineStr">
        <is>
          <t>אבי הרוש</t>
        </is>
      </c>
      <c r="D123" t="inlineStr">
        <is>
          <t>ז</t>
        </is>
      </c>
      <c r="E123" t="inlineStr">
        <is>
          <t>מייסד; אביו של ריף הרוש ז"ל שנפל בקרבות בחאן יונס (ynet s1enybqxzl)</t>
        </is>
      </c>
    </row>
    <row r="124" ht="15" customHeight="1">
      <c r="A124" t="inlineStr">
        <is>
          <t>טרופר-הנדל</t>
        </is>
      </c>
      <c r="B124" t="n">
        <v>9</v>
      </c>
      <c r="C124" t="inlineStr">
        <is>
          <t>יהונתן בן שבת</t>
        </is>
      </c>
      <c r="D124" t="inlineStr">
        <is>
          <t>ז</t>
        </is>
      </c>
      <c r="E124" t="inlineStr">
        <is>
          <t>מייסד; נפצע קשה בקרבות ברפיח (ynet s1enybqxzl)</t>
        </is>
      </c>
    </row>
    <row r="125" ht="15" customHeight="1">
      <c r="A125" t="inlineStr">
        <is>
          <t>יהדות התורה</t>
        </is>
      </c>
      <c r="B125" t="n">
        <v>1</v>
      </c>
      <c r="C125" t="inlineStr">
        <is>
          <t>יצחק גולדקנופף</t>
        </is>
      </c>
      <c r="D125" t="inlineStr">
        <is>
          <t>ז</t>
        </is>
      </c>
      <c r="E125" t="inlineStr">
        <is>
          <t>חבר/ת כנסת מכהן/ת (מפלגה חד-מגדרית באופן היסטורי)</t>
        </is>
      </c>
    </row>
    <row r="126" ht="15" customHeight="1">
      <c r="A126" t="inlineStr">
        <is>
          <t>יהדות התורה</t>
        </is>
      </c>
      <c r="B126" t="n">
        <v>2</v>
      </c>
      <c r="C126" t="inlineStr">
        <is>
          <t>משה גפני</t>
        </is>
      </c>
      <c r="D126" t="inlineStr">
        <is>
          <t>ז</t>
        </is>
      </c>
      <c r="E126" t="inlineStr">
        <is>
          <t>חבר/ת כנסת מכהן/ת (מפלגה חד-מגדרית באופן היסטורי)</t>
        </is>
      </c>
    </row>
    <row r="127" ht="15" customHeight="1">
      <c r="A127" t="inlineStr">
        <is>
          <t>יהדות התורה</t>
        </is>
      </c>
      <c r="B127" t="n">
        <v>3</v>
      </c>
      <c r="C127" t="inlineStr">
        <is>
          <t>מאיר פרוש</t>
        </is>
      </c>
      <c r="D127" t="inlineStr">
        <is>
          <t>ז</t>
        </is>
      </c>
      <c r="E127" t="inlineStr">
        <is>
          <t>חבר/ת כנסת מכהן/ת (מפלגה חד-מגדרית באופן היסטורי)</t>
        </is>
      </c>
    </row>
    <row r="128" ht="15" customHeight="1">
      <c r="A128" t="inlineStr">
        <is>
          <t>יהדות התורה</t>
        </is>
      </c>
      <c r="B128" t="n">
        <v>4</v>
      </c>
      <c r="C128" t="inlineStr">
        <is>
          <t>יצחק פינדרוס</t>
        </is>
      </c>
      <c r="D128" t="inlineStr">
        <is>
          <t>ז</t>
        </is>
      </c>
      <c r="E128" t="inlineStr">
        <is>
          <t>חבר/ת כנסת מכהן/ת (מפלגה חד-מגדרית באופן היסטורי)</t>
        </is>
      </c>
    </row>
    <row r="129" ht="15" customHeight="1">
      <c r="A129" t="inlineStr">
        <is>
          <t>יהדות התורה</t>
        </is>
      </c>
      <c r="B129" t="n">
        <v>5</v>
      </c>
      <c r="C129" t="inlineStr">
        <is>
          <t>ישראל אייכלר</t>
        </is>
      </c>
      <c r="D129" t="inlineStr">
        <is>
          <t>ז</t>
        </is>
      </c>
      <c r="E129" t="inlineStr">
        <is>
          <t>חבר/ת כנסת מכהן/ת (מפלגה חד-מגדרית באופן היסטורי)</t>
        </is>
      </c>
    </row>
    <row r="130" ht="15" customHeight="1">
      <c r="A130" t="inlineStr">
        <is>
          <t>יהדות התורה</t>
        </is>
      </c>
      <c r="B130" t="n">
        <v>6</v>
      </c>
      <c r="C130" t="inlineStr">
        <is>
          <t>אורי מקלב</t>
        </is>
      </c>
      <c r="D130" t="inlineStr">
        <is>
          <t>ז</t>
        </is>
      </c>
      <c r="E130" t="inlineStr">
        <is>
          <t>חבר/ת כנסת מכהן/ת (מפלגה חד-מגדרית באופן היסטורי)</t>
        </is>
      </c>
    </row>
    <row r="131" ht="15" customHeight="1">
      <c r="A131" t="inlineStr">
        <is>
          <t>יהדות התורה</t>
        </is>
      </c>
      <c r="B131" t="n">
        <v>7</v>
      </c>
      <c r="C131" t="inlineStr">
        <is>
          <t>יעקב אשר</t>
        </is>
      </c>
      <c r="D131" t="inlineStr">
        <is>
          <t>ז</t>
        </is>
      </c>
      <c r="E131" t="inlineStr">
        <is>
          <t>חבר/ת כנסת מכהן/ת (מפלגה חד-מגדרית באופן היסטורי)</t>
        </is>
      </c>
    </row>
    <row r="132" ht="15" customHeight="1">
      <c r="A132" t="inlineStr">
        <is>
          <t>יהדות התורה</t>
        </is>
      </c>
      <c r="B132" t="n">
        <v>8</v>
      </c>
      <c r="C132" t="inlineStr">
        <is>
          <t>(לא אותר - משוער זכר לפי היסטוריית המפלגה)</t>
        </is>
      </c>
      <c r="D132" t="inlineStr">
        <is>
          <t>ז</t>
        </is>
      </c>
      <c r="E132" t="inlineStr">
        <is>
          <t>לא אותר מועמד - נתון חסר</t>
        </is>
      </c>
    </row>
    <row r="133" ht="15" customHeight="1">
      <c r="A133" t="inlineStr">
        <is>
          <t>יהדות התורה</t>
        </is>
      </c>
      <c r="B133" t="n">
        <v>9</v>
      </c>
      <c r="C133" t="inlineStr">
        <is>
          <t>(לא אותר - משוער זכר לפי היסטוריית המפלגה)</t>
        </is>
      </c>
      <c r="D133" t="inlineStr">
        <is>
          <t>ז</t>
        </is>
      </c>
      <c r="E133" t="inlineStr">
        <is>
          <t>לא אותר מועמד - נתון חסר</t>
        </is>
      </c>
    </row>
    <row r="134" ht="15" customHeight="1">
      <c r="A134" t="inlineStr">
        <is>
          <t>ישר!</t>
        </is>
      </c>
      <c r="B134" t="n">
        <v>1</v>
      </c>
      <c r="C134" t="inlineStr">
        <is>
          <t>גדי איזנקוט</t>
        </is>
      </c>
      <c r="D134" t="inlineStr">
        <is>
          <t>ז</t>
        </is>
      </c>
    </row>
    <row r="135" ht="15" customHeight="1">
      <c r="A135" t="inlineStr">
        <is>
          <t>ישר!</t>
        </is>
      </c>
      <c r="B135" t="n">
        <v>2</v>
      </c>
      <c r="C135" t="inlineStr">
        <is>
          <t>כמיל אבו רוקן</t>
        </is>
      </c>
      <c r="D135" t="inlineStr">
        <is>
          <t>ז</t>
        </is>
      </c>
    </row>
    <row r="136" ht="15" customHeight="1">
      <c r="A136" t="inlineStr">
        <is>
          <t>ישר!</t>
        </is>
      </c>
      <c r="B136" t="n">
        <v>3</v>
      </c>
      <c r="C136" t="inlineStr">
        <is>
          <t>תאיר איפרגן</t>
        </is>
      </c>
      <c r="D136" t="inlineStr">
        <is>
          <t>נ</t>
        </is>
      </c>
    </row>
    <row r="137" ht="15" customHeight="1">
      <c r="A137" t="inlineStr">
        <is>
          <t>ישר!</t>
        </is>
      </c>
      <c r="B137" t="n">
        <v>4</v>
      </c>
      <c r="C137" t="inlineStr">
        <is>
          <t>אושרת גני גונן</t>
        </is>
      </c>
      <c r="D137" t="inlineStr">
        <is>
          <t>נ</t>
        </is>
      </c>
    </row>
    <row r="138" ht="15" customHeight="1">
      <c r="A138" t="inlineStr">
        <is>
          <t>ישר!</t>
        </is>
      </c>
      <c r="B138" t="n">
        <v>5</v>
      </c>
      <c r="C138" t="inlineStr">
        <is>
          <t>ישראל זרי</t>
        </is>
      </c>
      <c r="D138" t="inlineStr">
        <is>
          <t>ז</t>
        </is>
      </c>
      <c r="E138" t="inlineStr">
        <is>
          <t xml:space="preserve">רשימה רשמית (yasharwitheisenkot.com/team-member, נשלף 16.8.2026) </t>
        </is>
      </c>
    </row>
    <row r="139">
      <c r="A139" t="inlineStr">
        <is>
          <t>ישר!</t>
        </is>
      </c>
      <c r="B139" t="n">
        <v>6</v>
      </c>
      <c r="C139" t="inlineStr">
        <is>
          <t>ענבר הרוש גיטי</t>
        </is>
      </c>
      <c r="D139" t="inlineStr">
        <is>
          <t>נ</t>
        </is>
      </c>
    </row>
    <row r="140">
      <c r="A140" t="inlineStr">
        <is>
          <t>ישר!</t>
        </is>
      </c>
      <c r="B140" t="n">
        <v>7</v>
      </c>
      <c r="C140" t="inlineStr">
        <is>
          <t>יורם כהן</t>
        </is>
      </c>
      <c r="D140" t="inlineStr">
        <is>
          <t>ז</t>
        </is>
      </c>
      <c r="E140" t="inlineStr">
        <is>
          <t>מיקום לא ידוע - הונח יחס 50/50 להמשך רשימה (ריצ'רץ')</t>
        </is>
      </c>
    </row>
    <row r="141">
      <c r="A141" t="inlineStr">
        <is>
          <t>ישר!</t>
        </is>
      </c>
      <c r="B141" t="n">
        <v>8</v>
      </c>
      <c r="C141" t="inlineStr">
        <is>
          <t>יפה טבג'ה</t>
        </is>
      </c>
      <c r="D141" t="inlineStr">
        <is>
          <t>נ</t>
        </is>
      </c>
    </row>
    <row r="142">
      <c r="A142" t="inlineStr">
        <is>
          <t>ישר!</t>
        </is>
      </c>
      <c r="B142" t="n">
        <v>9</v>
      </c>
      <c r="C142" t="inlineStr">
        <is>
          <t>מתן כהנא</t>
        </is>
      </c>
      <c r="D142" t="inlineStr">
        <is>
          <t>ז</t>
        </is>
      </c>
      <c r="E142" t="inlineStr">
        <is>
          <t>מיקום לא ידוע - הונח יחס 50/50 להמשך רשימה (ריצ'רץ')</t>
        </is>
      </c>
    </row>
    <row r="143">
      <c r="A143" t="inlineStr">
        <is>
          <t>ישר!</t>
        </is>
      </c>
      <c r="B143" t="n">
        <v>10</v>
      </c>
      <c r="C143" t="inlineStr">
        <is>
          <t>ענבר יחזקאלי</t>
        </is>
      </c>
      <c r="D143" t="inlineStr">
        <is>
          <t>נ</t>
        </is>
      </c>
      <c r="E143" t="inlineStr">
        <is>
          <t>מיקום לא ידוע - הונח יחס 50/50 להמשך רשימה (ריצ'רץ')</t>
        </is>
      </c>
    </row>
    <row r="144">
      <c r="A144" t="inlineStr">
        <is>
          <t>ישר!</t>
        </is>
      </c>
      <c r="B144" t="n">
        <v>11</v>
      </c>
      <c r="C144" t="inlineStr">
        <is>
          <t>שאול מרידור</t>
        </is>
      </c>
      <c r="D144" t="inlineStr">
        <is>
          <t>ז</t>
        </is>
      </c>
      <c r="E144" t="inlineStr">
        <is>
          <t>מיקום לא ידוע - הונח יחס 50/50 להמשך רשימה (ריצ'רץ')</t>
        </is>
      </c>
    </row>
    <row r="145">
      <c r="A145" t="inlineStr">
        <is>
          <t>ישר!</t>
        </is>
      </c>
      <c r="B145" t="n">
        <v>12</v>
      </c>
      <c r="C145" t="inlineStr">
        <is>
          <t>אורית פרקש הכהן</t>
        </is>
      </c>
      <c r="D145" t="inlineStr">
        <is>
          <t>נ</t>
        </is>
      </c>
      <c r="E145" t="inlineStr">
        <is>
          <t>מיקום לא ידוע - הונח יחס 50/50 להמשך רשימה (ריצ'רץ')</t>
        </is>
      </c>
    </row>
    <row r="146">
      <c r="A146" t="inlineStr">
        <is>
          <t>ישר!</t>
        </is>
      </c>
      <c r="B146" t="n">
        <v>13</v>
      </c>
      <c r="C146" t="inlineStr">
        <is>
          <t>מועמד/ת משוער/ת (מיקום 14)</t>
        </is>
      </c>
      <c r="D146" t="inlineStr">
        <is>
          <t>ז</t>
        </is>
      </c>
      <c r="E146" t="inlineStr">
        <is>
          <t>מיקום לא ידוע - הונח יחס 50/50 להמשך רשימה (ריצ'רץ')</t>
        </is>
      </c>
    </row>
    <row r="147">
      <c r="A147" t="inlineStr">
        <is>
          <t>ישר!</t>
        </is>
      </c>
      <c r="B147" t="n">
        <v>14</v>
      </c>
      <c r="C147" t="inlineStr">
        <is>
          <t>אלכס ריף</t>
        </is>
      </c>
      <c r="D147" t="inlineStr">
        <is>
          <t>נ</t>
        </is>
      </c>
      <c r="E147" t="inlineStr">
        <is>
          <t>מיקום לא ידוע - הונח יחס 50/50 להמשך רשימה (ריצ'רץ')</t>
        </is>
      </c>
    </row>
    <row r="148">
      <c r="A148" t="inlineStr">
        <is>
          <t>ישר!</t>
        </is>
      </c>
      <c r="B148" t="n">
        <v>15</v>
      </c>
      <c r="C148" t="inlineStr">
        <is>
          <t>מועמד/ת משוער/ת (מיקום 16)</t>
        </is>
      </c>
      <c r="D148" t="inlineStr">
        <is>
          <t>ז</t>
        </is>
      </c>
      <c r="E148" t="inlineStr">
        <is>
          <t>מיקום לא ידוע - הונח יחס 50/50 להמשך רשימה (ריצ'רץ')</t>
        </is>
      </c>
    </row>
    <row r="149">
      <c r="A149" t="inlineStr">
        <is>
          <t>ישר!</t>
        </is>
      </c>
      <c r="B149" t="n">
        <v>16</v>
      </c>
      <c r="C149" t="inlineStr">
        <is>
          <t>דבורה שריפיאן בכר</t>
        </is>
      </c>
      <c r="D149" t="inlineStr">
        <is>
          <t>נ</t>
        </is>
      </c>
      <c r="E149" t="inlineStr">
        <is>
          <t>מיקום לא ידוע - הונח יחס 50/50 להמשך רשימה (ריצ'רץ')</t>
        </is>
      </c>
    </row>
    <row r="150">
      <c r="A150" t="inlineStr">
        <is>
          <t>ישר!</t>
        </is>
      </c>
      <c r="B150" t="n">
        <v>17</v>
      </c>
      <c r="C150" t="inlineStr">
        <is>
          <t>מועמד/ת משוער/ת (מיקום 18)</t>
        </is>
      </c>
      <c r="D150" t="inlineStr">
        <is>
          <t>ז</t>
        </is>
      </c>
      <c r="E150" t="inlineStr">
        <is>
          <t>מיקום לא ידוע - הונח יחס 50/50 להמשך רשימה (ריצ'רץ')</t>
        </is>
      </c>
    </row>
    <row r="151">
      <c r="A151" t="inlineStr">
        <is>
          <t>ישר!</t>
        </is>
      </c>
      <c r="B151" t="n">
        <v>18</v>
      </c>
      <c r="C151" t="inlineStr">
        <is>
          <t>מועמד/ת משוער/ת (מיקום 15)</t>
        </is>
      </c>
      <c r="D151" t="inlineStr">
        <is>
          <t>נ</t>
        </is>
      </c>
      <c r="E151" t="inlineStr">
        <is>
          <t>מיקום לא ידוע - הונח יחס 50/50 להמשך רשימה (ריצ'רץ')</t>
        </is>
      </c>
    </row>
    <row r="152">
      <c r="A152" t="inlineStr">
        <is>
          <t>ישר!</t>
        </is>
      </c>
      <c r="B152" t="n">
        <v>19</v>
      </c>
      <c r="C152" t="inlineStr">
        <is>
          <t>מועמד/ת משוער/ת (מיקום 20)</t>
        </is>
      </c>
      <c r="D152" t="inlineStr">
        <is>
          <t>ז</t>
        </is>
      </c>
      <c r="E152" t="inlineStr">
        <is>
          <t>מיקום לא ידוע - הונח יחס 50/50 להמשך רשימה (ריצ'רץ')</t>
        </is>
      </c>
    </row>
    <row r="153">
      <c r="A153" t="inlineStr">
        <is>
          <t>ישר!</t>
        </is>
      </c>
      <c r="B153" t="n">
        <v>20</v>
      </c>
      <c r="C153" t="inlineStr">
        <is>
          <t>מועמד/ת משוער/ת (מיקום 17)</t>
        </is>
      </c>
      <c r="D153" t="inlineStr">
        <is>
          <t>נ</t>
        </is>
      </c>
      <c r="E153" t="inlineStr">
        <is>
          <t>מיקום לא ידוע - הונח יחס 50/50 להמשך רשימה (ריצ'רץ')</t>
        </is>
      </c>
    </row>
    <row r="154">
      <c r="A154" t="inlineStr">
        <is>
          <t>ישר!</t>
        </is>
      </c>
      <c r="B154" t="n">
        <v>21</v>
      </c>
      <c r="C154" t="inlineStr">
        <is>
          <t>מועמד/ת משוער/ת (מיקום 19)</t>
        </is>
      </c>
      <c r="D154" t="inlineStr">
        <is>
          <t>ז</t>
        </is>
      </c>
      <c r="E154" t="inlineStr">
        <is>
          <t>מיקום לא ידוע - הונח יחס 50/50 להמשך רשימה (ריצ'רץ')</t>
        </is>
      </c>
    </row>
    <row r="155">
      <c r="A155" t="inlineStr">
        <is>
          <t>ישר!</t>
        </is>
      </c>
      <c r="B155" t="n">
        <v>22</v>
      </c>
      <c r="C155" t="inlineStr">
        <is>
          <t>מועמד/ת משוער/ת (מיקום 21)</t>
        </is>
      </c>
      <c r="D155" t="inlineStr">
        <is>
          <t>נ</t>
        </is>
      </c>
      <c r="E155" t="inlineStr">
        <is>
          <t>מיקום לא ידוע - הונח יחס 50/50 להמשך רשימה (ריצ'רץ')</t>
        </is>
      </c>
    </row>
    <row r="156">
      <c r="A156" t="inlineStr">
        <is>
          <t>ישר!</t>
        </is>
      </c>
      <c r="B156" t="n">
        <v>23</v>
      </c>
      <c r="C156" t="inlineStr">
        <is>
          <t>מועמד/ת משוער/ת (מיקום 22)</t>
        </is>
      </c>
      <c r="D156" t="inlineStr">
        <is>
          <t>ז</t>
        </is>
      </c>
      <c r="E156" t="inlineStr">
        <is>
          <t>מיקום לא ידוע - הונח יחס 50/50 להמשך רשימה (ריצ'רץ')</t>
        </is>
      </c>
    </row>
    <row r="157">
      <c r="A157" t="inlineStr">
        <is>
          <t>ישר!</t>
        </is>
      </c>
      <c r="B157" t="n">
        <v>24</v>
      </c>
      <c r="C157" t="inlineStr">
        <is>
          <t>מועמד/ת משוער/ת (מיקום 23)</t>
        </is>
      </c>
      <c r="D157" t="inlineStr">
        <is>
          <t>נ</t>
        </is>
      </c>
      <c r="E157" t="inlineStr">
        <is>
          <t>מיקום לא ידוע - הונח יחס 50/50 להמשך רשימה (ריצ'רץ')</t>
        </is>
      </c>
    </row>
    <row r="158">
      <c r="A158" t="inlineStr">
        <is>
          <t>ישר!</t>
        </is>
      </c>
      <c r="B158" t="n">
        <v>25</v>
      </c>
      <c r="C158" t="inlineStr">
        <is>
          <t>מועמד/ת משוער/ת (מיקום 24)</t>
        </is>
      </c>
      <c r="D158" t="inlineStr">
        <is>
          <t>ז</t>
        </is>
      </c>
      <c r="E158" t="inlineStr">
        <is>
          <t>מיקום לא ידוע - הונח יחס 50/50 להמשך רשימה (ריצ'רץ')</t>
        </is>
      </c>
    </row>
    <row r="159">
      <c r="A159" t="inlineStr">
        <is>
          <t>ישר!</t>
        </is>
      </c>
      <c r="B159" t="n">
        <v>26</v>
      </c>
      <c r="C159" t="inlineStr">
        <is>
          <t>מועמד/ת משוער/ת (מיקום 25)</t>
        </is>
      </c>
      <c r="D159" t="inlineStr">
        <is>
          <t>נ</t>
        </is>
      </c>
      <c r="E159" t="inlineStr">
        <is>
          <t>מיקום לא ידוע - הונח יחס 50/50 להמשך רשימה (ריצ'רץ')</t>
        </is>
      </c>
    </row>
    <row r="160">
      <c r="A160" t="inlineStr">
        <is>
          <t>ישר!</t>
        </is>
      </c>
      <c r="B160" t="n">
        <v>27</v>
      </c>
      <c r="C160" t="inlineStr">
        <is>
          <t>מועמד/ת משוער/ת (מיקום 26)</t>
        </is>
      </c>
      <c r="D160" t="inlineStr">
        <is>
          <t>ז</t>
        </is>
      </c>
      <c r="E160" t="inlineStr">
        <is>
          <t>מיקום לא ידוע - הונח יחס 50/50 להמשך רשימה (ריצ'רץ')</t>
        </is>
      </c>
    </row>
    <row r="161">
      <c r="A161" t="inlineStr">
        <is>
          <t>ישר!</t>
        </is>
      </c>
      <c r="B161" t="n">
        <v>28</v>
      </c>
      <c r="C161" t="inlineStr">
        <is>
          <t>מועמד/ת משוער/ת (מיקום 27)</t>
        </is>
      </c>
      <c r="D161" t="inlineStr">
        <is>
          <t>נ</t>
        </is>
      </c>
      <c r="E161" t="inlineStr">
        <is>
          <t>מיקום לא ידוע - הונח יחס 50/50 להמשך רשימה (ריצ'רץ')</t>
        </is>
      </c>
    </row>
    <row r="162">
      <c r="A162" t="inlineStr">
        <is>
          <t>ישר!</t>
        </is>
      </c>
      <c r="B162" t="n">
        <v>29</v>
      </c>
      <c r="C162" t="inlineStr">
        <is>
          <t>מועמד/ת משוער/ת (מיקום 28)</t>
        </is>
      </c>
      <c r="D162" t="inlineStr">
        <is>
          <t>ז</t>
        </is>
      </c>
      <c r="E162" t="inlineStr">
        <is>
          <t>מיקום לא ידוע - הונח יחס 50/50 להמשך רשימה (ריצ'רץ')</t>
        </is>
      </c>
    </row>
    <row r="163">
      <c r="A163" t="inlineStr">
        <is>
          <t>ישראל ביתנו</t>
        </is>
      </c>
      <c r="B163" t="n">
        <v>1</v>
      </c>
      <c r="C163" t="inlineStr">
        <is>
          <t>אביגדור ליברמן</t>
        </is>
      </c>
      <c r="D163" t="inlineStr">
        <is>
          <t>ז</t>
        </is>
      </c>
      <c r="E163" t="inlineStr">
        <is>
          <t>חבר/ת כנסת מכהן/ת</t>
        </is>
      </c>
    </row>
    <row r="164">
      <c r="A164" t="inlineStr">
        <is>
          <t>ישראל ביתנו</t>
        </is>
      </c>
      <c r="B164" t="n">
        <v>2</v>
      </c>
      <c r="C164" t="inlineStr">
        <is>
          <t>עודד פורר</t>
        </is>
      </c>
      <c r="D164" t="inlineStr">
        <is>
          <t>ז</t>
        </is>
      </c>
      <c r="E164" t="inlineStr">
        <is>
          <t>חבר/ת כנסת מכהן/ת</t>
        </is>
      </c>
    </row>
    <row r="165">
      <c r="A165" t="inlineStr">
        <is>
          <t>ישראל ביתנו</t>
        </is>
      </c>
      <c r="B165" t="n">
        <v>3</v>
      </c>
      <c r="C165" t="inlineStr">
        <is>
          <t>יבגני סוב</t>
        </is>
      </c>
      <c r="D165" t="inlineStr">
        <is>
          <t>ז</t>
        </is>
      </c>
      <c r="E165" t="inlineStr">
        <is>
          <t>חבר/ת כנסת מכהן/ת</t>
        </is>
      </c>
    </row>
    <row r="166">
      <c r="A166" t="inlineStr">
        <is>
          <t>ישראל ביתנו</t>
        </is>
      </c>
      <c r="B166" t="n">
        <v>4</v>
      </c>
      <c r="C166" t="inlineStr">
        <is>
          <t>שרון ניר</t>
        </is>
      </c>
      <c r="D166" t="inlineStr">
        <is>
          <t>נ</t>
        </is>
      </c>
      <c r="E166" t="inlineStr">
        <is>
          <t xml:space="preserve">חבר/ת כנסת מכהן/ת </t>
        </is>
      </c>
    </row>
    <row r="167">
      <c r="A167" t="inlineStr">
        <is>
          <t>ישראל ביתנו</t>
        </is>
      </c>
      <c r="B167" t="n">
        <v>5</v>
      </c>
      <c r="C167" t="inlineStr">
        <is>
          <t>יוליה מלינובסקי</t>
        </is>
      </c>
      <c r="D167" t="inlineStr">
        <is>
          <t>נ</t>
        </is>
      </c>
      <c r="E167" t="inlineStr">
        <is>
          <t>חבר/ת כנסת מכהן/ת</t>
        </is>
      </c>
    </row>
    <row r="168">
      <c r="A168" t="inlineStr">
        <is>
          <t>ישראל ביתנו</t>
        </is>
      </c>
      <c r="B168" t="n">
        <v>6</v>
      </c>
      <c r="C168" t="inlineStr">
        <is>
          <t>חמד עמאר</t>
        </is>
      </c>
      <c r="D168" t="inlineStr">
        <is>
          <t>ז</t>
        </is>
      </c>
      <c r="E168" t="inlineStr">
        <is>
          <t>חבר/ת כנסת מכהן/ת</t>
        </is>
      </c>
    </row>
    <row r="169">
      <c r="A169" t="inlineStr">
        <is>
          <t>ישראל ביתנו</t>
        </is>
      </c>
      <c r="B169" t="n">
        <v>7</v>
      </c>
      <c r="C169" t="inlineStr">
        <is>
          <t>לילי בן-עמי</t>
        </is>
      </c>
      <c r="D169" t="inlineStr">
        <is>
          <t>נ</t>
        </is>
      </c>
      <c r="E169" t="inlineStr">
        <is>
          <t>דווח בתקשורת, סדר לא ידוע - מיקום משוער</t>
        </is>
      </c>
    </row>
    <row r="170">
      <c r="A170" t="inlineStr">
        <is>
          <t>ישראל ביתנו</t>
        </is>
      </c>
      <c r="B170" t="n">
        <v>8</v>
      </c>
      <c r="C170" t="inlineStr">
        <is>
          <t>מור דקל</t>
        </is>
      </c>
      <c r="D170" t="inlineStr">
        <is>
          <t>נ</t>
        </is>
      </c>
      <c r="E170" t="inlineStr">
        <is>
          <t>דווח בתקשורת, סדר לא ידוע - מיקום משוער</t>
        </is>
      </c>
    </row>
    <row r="171">
      <c r="A171" t="inlineStr">
        <is>
          <t>ישראל ביתנו</t>
        </is>
      </c>
      <c r="B171" t="n">
        <v>9</v>
      </c>
      <c r="C171" t="inlineStr">
        <is>
          <t>דן אילוז</t>
        </is>
      </c>
      <c r="D171" t="inlineStr">
        <is>
          <t>ז</t>
        </is>
      </c>
      <c r="E171" t="inlineStr">
        <is>
          <t>דווח בתקשורת, סדר לא ידוע - מיקום משוער</t>
        </is>
      </c>
    </row>
    <row r="172">
      <c r="A172" t="inlineStr">
        <is>
          <t>ישראל ביתנו</t>
        </is>
      </c>
      <c r="B172" t="n">
        <v>10</v>
      </c>
      <c r="C172" t="inlineStr">
        <is>
          <t>גיל סגל</t>
        </is>
      </c>
      <c r="D172" t="inlineStr">
        <is>
          <t>ז</t>
        </is>
      </c>
      <c r="E172" t="inlineStr">
        <is>
          <t>דווח בתקשורת, סדר לא ידוע - מיקום משוער</t>
        </is>
      </c>
    </row>
    <row r="173">
      <c r="A173" t="inlineStr">
        <is>
          <t>ישראל ביתנו</t>
        </is>
      </c>
      <c r="B173" t="n">
        <v>11</v>
      </c>
      <c r="C173" t="inlineStr">
        <is>
          <t>דוד אזולאי</t>
        </is>
      </c>
      <c r="D173" t="inlineStr">
        <is>
          <t>ז</t>
        </is>
      </c>
      <c r="E173" t="inlineStr">
        <is>
          <t>דווח בתקשורת, סדר לא ידוע - מיקום משוער</t>
        </is>
      </c>
    </row>
    <row r="174">
      <c r="A174" t="inlineStr">
        <is>
          <t>ישראל ביתנו</t>
        </is>
      </c>
      <c r="B174" t="n">
        <v>12</v>
      </c>
      <c r="C174" t="inlineStr">
        <is>
          <t>יוסי ברודני</t>
        </is>
      </c>
      <c r="D174" t="inlineStr">
        <is>
          <t>ז</t>
        </is>
      </c>
      <c r="E174" t="inlineStr">
        <is>
          <t>דווח בתקשורת, סדר לא ידוע - מיקום משוער</t>
        </is>
      </c>
    </row>
    <row r="175">
      <c r="A175" t="inlineStr">
        <is>
          <t>כחול לבן</t>
        </is>
      </c>
      <c r="B175" t="n">
        <v>1</v>
      </c>
      <c r="C175" t="inlineStr">
        <is>
          <t>בני גנץ</t>
        </is>
      </c>
      <c r="D175" t="inlineStr">
        <is>
          <t>ז</t>
        </is>
      </c>
      <c r="E175" t="inlineStr">
        <is>
          <t>רשימה רשמית (אתר המפלגה: kachollavan.org.il/members, נשלף 2/8/2026)</t>
        </is>
      </c>
    </row>
    <row r="176">
      <c r="A176" t="inlineStr">
        <is>
          <t>כחול לבן</t>
        </is>
      </c>
      <c r="B176" t="n">
        <v>2</v>
      </c>
      <c r="C176" t="inlineStr">
        <is>
          <t>פנינה תמנו שטה</t>
        </is>
      </c>
      <c r="D176" t="inlineStr">
        <is>
          <t>נ</t>
        </is>
      </c>
      <c r="E176" t="inlineStr">
        <is>
          <t>רשימה רשמית (אתר המפלגה: kachollavan.org.il/members, נשלף 2/8/2026)</t>
        </is>
      </c>
    </row>
    <row r="177">
      <c r="A177" t="inlineStr">
        <is>
          <t>כחול לבן</t>
        </is>
      </c>
      <c r="B177" t="n">
        <v>3</v>
      </c>
      <c r="C177" t="inlineStr">
        <is>
          <t>מיכאל ביטון</t>
        </is>
      </c>
      <c r="D177" t="inlineStr">
        <is>
          <t>ז</t>
        </is>
      </c>
      <c r="E177" t="inlineStr">
        <is>
          <t>רשימה רשמית (אתר המפלגה: kachollavan.org.il/members, נשלף 2/8/2026)</t>
        </is>
      </c>
    </row>
    <row r="178">
      <c r="A178" t="inlineStr">
        <is>
          <t>כחול לבן</t>
        </is>
      </c>
      <c r="B178" t="n">
        <v>4</v>
      </c>
      <c r="C178" t="inlineStr">
        <is>
          <t>אלון שוסטר</t>
        </is>
      </c>
      <c r="D178" t="inlineStr">
        <is>
          <t>ז</t>
        </is>
      </c>
      <c r="E178" t="inlineStr">
        <is>
          <t>רשימה רשמית (אתר המפלגה: kachollavan.org.il/members, נשלף 2/8/2026)</t>
        </is>
      </c>
    </row>
    <row r="179">
      <c r="A179" t="inlineStr">
        <is>
          <t>כחול לבן</t>
        </is>
      </c>
      <c r="B179" t="n">
        <v>5</v>
      </c>
      <c r="C179" t="inlineStr">
        <is>
          <t>יעל רון בן משה</t>
        </is>
      </c>
      <c r="D179" t="inlineStr">
        <is>
          <t>נ</t>
        </is>
      </c>
      <c r="E179" t="inlineStr">
        <is>
          <t>רשימה רשמית (אתר המפלגה: kachollavan.org.il/members, נשלף 2/8/2026)</t>
        </is>
      </c>
    </row>
    <row r="180">
      <c r="A180" t="inlineStr">
        <is>
          <t>עוצמה יהודית</t>
        </is>
      </c>
      <c r="B180" t="n">
        <v>1</v>
      </c>
      <c r="C180" t="inlineStr">
        <is>
          <t>איתמר בן גביר</t>
        </is>
      </c>
      <c r="D180" t="inlineStr">
        <is>
          <t>ז</t>
        </is>
      </c>
      <c r="E180" t="inlineStr">
        <is>
          <t>חבר/ת כנסת מכהן/ת</t>
        </is>
      </c>
    </row>
    <row r="181">
      <c r="A181" t="inlineStr">
        <is>
          <t>עוצמה יהודית</t>
        </is>
      </c>
      <c r="B181" t="n">
        <v>2</v>
      </c>
      <c r="C181" t="inlineStr">
        <is>
          <t>יצחק וסרלאוף</t>
        </is>
      </c>
      <c r="D181" t="inlineStr">
        <is>
          <t>ז</t>
        </is>
      </c>
      <c r="E181" t="inlineStr">
        <is>
          <t>חבר/ת כנסת מכהן/ת</t>
        </is>
      </c>
    </row>
    <row r="182">
      <c r="A182" t="inlineStr">
        <is>
          <t>עוצמה יהודית</t>
        </is>
      </c>
      <c r="B182" t="n">
        <v>3</v>
      </c>
      <c r="C182" t="inlineStr">
        <is>
          <t>אלמוג כהן</t>
        </is>
      </c>
      <c r="D182" t="inlineStr">
        <is>
          <t>ז</t>
        </is>
      </c>
      <c r="E182" t="inlineStr">
        <is>
          <t>חבר/ת כנסת מכהן/ת</t>
        </is>
      </c>
    </row>
    <row r="183">
      <c r="A183" t="inlineStr">
        <is>
          <t>עוצמה יהודית</t>
        </is>
      </c>
      <c r="B183" t="n">
        <v>4</v>
      </c>
      <c r="C183" t="inlineStr">
        <is>
          <t>עמיחי אליהו</t>
        </is>
      </c>
      <c r="D183" t="inlineStr">
        <is>
          <t>ז</t>
        </is>
      </c>
      <c r="E183" t="inlineStr">
        <is>
          <t>חבר/ת כנסת מכהן/ת</t>
        </is>
      </c>
    </row>
    <row r="184">
      <c r="A184" t="inlineStr">
        <is>
          <t>עוצמה יהודית</t>
        </is>
      </c>
      <c r="B184" t="n">
        <v>5</v>
      </c>
      <c r="C184" t="inlineStr">
        <is>
          <t>צביקה פוגל</t>
        </is>
      </c>
      <c r="D184" t="inlineStr">
        <is>
          <t>ז</t>
        </is>
      </c>
      <c r="E184" t="inlineStr">
        <is>
          <t>חבר/ת כנסת מכהן/ת</t>
        </is>
      </c>
    </row>
    <row r="185">
      <c r="A185" t="inlineStr">
        <is>
          <t>עוצמה יהודית</t>
        </is>
      </c>
      <c r="B185" t="n">
        <v>6</v>
      </c>
      <c r="C185" t="inlineStr">
        <is>
          <t>לימור סון הר-מלך</t>
        </is>
      </c>
      <c r="D185" t="inlineStr">
        <is>
          <t>נ</t>
        </is>
      </c>
      <c r="E185" t="inlineStr">
        <is>
          <t>חבר/ת כנסת מכהן/ת</t>
        </is>
      </c>
    </row>
    <row r="186">
      <c r="A186" t="inlineStr">
        <is>
          <t>עוצמה יהודית</t>
        </is>
      </c>
      <c r="B186" t="n">
        <v>7</v>
      </c>
      <c r="C186" t="inlineStr">
        <is>
          <t>יצחק קרויזר</t>
        </is>
      </c>
      <c r="D186" t="inlineStr">
        <is>
          <t>ז</t>
        </is>
      </c>
      <c r="E186" t="inlineStr">
        <is>
          <t>חבר/ת כנסת מכהן/ת</t>
        </is>
      </c>
    </row>
    <row r="187">
      <c r="A187" t="inlineStr">
        <is>
          <t>עוצמה יהודית</t>
        </is>
      </c>
      <c r="B187" t="n">
        <v>8</v>
      </c>
      <c r="C187" t="inlineStr">
        <is>
          <t>(לא אותר מועמד)</t>
        </is>
      </c>
      <c r="D187" t="inlineStr">
        <is>
          <t>ז</t>
        </is>
      </c>
      <c r="E187" t="inlineStr">
        <is>
          <t>לא אותר מועמד - נתון חסר</t>
        </is>
      </c>
    </row>
    <row r="188">
      <c r="A188" t="inlineStr">
        <is>
          <t>עוצמה יהודית</t>
        </is>
      </c>
      <c r="B188" t="n">
        <v>9</v>
      </c>
      <c r="C188" t="inlineStr">
        <is>
          <t>(לא אותר מועמד)</t>
        </is>
      </c>
      <c r="D188" t="inlineStr">
        <is>
          <t>ז</t>
        </is>
      </c>
      <c r="E188" t="inlineStr">
        <is>
          <t>לא אותר מועמד - נתון חסר</t>
        </is>
      </c>
    </row>
    <row r="189">
      <c r="A189" t="inlineStr">
        <is>
          <t>עוצמה יהודית</t>
        </is>
      </c>
      <c r="B189" t="n">
        <v>10</v>
      </c>
      <c r="C189" t="inlineStr">
        <is>
          <t>(לא אותר מועמד)</t>
        </is>
      </c>
      <c r="D189" t="inlineStr">
        <is>
          <t>ז</t>
        </is>
      </c>
      <c r="E189" t="inlineStr">
        <is>
          <t>לא אותר מועמד - נתון חסר</t>
        </is>
      </c>
    </row>
    <row r="190">
      <c r="A190" t="inlineStr">
        <is>
          <t>רע"מ</t>
        </is>
      </c>
      <c r="B190" t="n">
        <v>1</v>
      </c>
      <c r="C190" t="inlineStr">
        <is>
          <t>מנסור עבאס</t>
        </is>
      </c>
      <c r="D190" t="inlineStr">
        <is>
          <t>ז</t>
        </is>
      </c>
      <c r="E190" t="inlineStr">
        <is>
          <t>חבר/ת כנסת מכהן/ת</t>
        </is>
      </c>
    </row>
    <row r="191">
      <c r="A191" t="inlineStr">
        <is>
          <t>רע"מ</t>
        </is>
      </c>
      <c r="B191" t="n">
        <v>2</v>
      </c>
      <c r="C191" t="inlineStr">
        <is>
          <t>יואב סגלוביץ'</t>
        </is>
      </c>
      <c r="D191" t="inlineStr">
        <is>
          <t>ז</t>
        </is>
      </c>
      <c r="E191" t="inlineStr">
        <is>
          <t>מצטרף לרשימת רע"מ במיקום 2 - עודכן לפי בקשת המשתמש (לשעבר חבר כנסת ביש עתיד/ביחד)</t>
        </is>
      </c>
    </row>
    <row r="192">
      <c r="A192" t="inlineStr">
        <is>
          <t>רע"מ</t>
        </is>
      </c>
      <c r="B192" t="n">
        <v>3</v>
      </c>
      <c r="C192" t="inlineStr">
        <is>
          <t>וליד טאהא</t>
        </is>
      </c>
      <c r="D192" t="inlineStr">
        <is>
          <t>ז</t>
        </is>
      </c>
      <c r="E192" t="inlineStr">
        <is>
          <t>חבר/ת כנסת מכהן/ת</t>
        </is>
      </c>
    </row>
    <row r="193">
      <c r="A193" t="inlineStr">
        <is>
          <t>רע"מ</t>
        </is>
      </c>
      <c r="B193" t="n">
        <v>4</v>
      </c>
      <c r="C193" t="inlineStr">
        <is>
          <t>וליד אלהואשלה</t>
        </is>
      </c>
      <c r="D193" t="inlineStr">
        <is>
          <t>ז</t>
        </is>
      </c>
      <c r="E193" t="inlineStr">
        <is>
          <t>חבר/ת כנסת מכהן/ת</t>
        </is>
      </c>
    </row>
    <row r="194">
      <c r="A194" t="inlineStr">
        <is>
          <t>רע"מ</t>
        </is>
      </c>
      <c r="B194" t="n">
        <v>5</v>
      </c>
      <c r="C194" t="inlineStr">
        <is>
          <t>אימאן ח'טיב יאסין</t>
        </is>
      </c>
      <c r="D194" t="inlineStr">
        <is>
          <t>נ</t>
        </is>
      </c>
      <c r="E194" t="inlineStr">
        <is>
          <t>חבר/ת כנסת מכהן/ת</t>
        </is>
      </c>
    </row>
    <row r="195">
      <c r="A195" t="inlineStr">
        <is>
          <t>רע"מ</t>
        </is>
      </c>
      <c r="B195" t="n">
        <v>6</v>
      </c>
      <c r="C195" t="inlineStr">
        <is>
          <t>יאסר חוג'יראת</t>
        </is>
      </c>
      <c r="D195" t="inlineStr">
        <is>
          <t>ז</t>
        </is>
      </c>
      <c r="E195" t="inlineStr">
        <is>
          <t>חבר/ת כנסת מכהן/ת (מושב חמישי לא ודאי)</t>
        </is>
      </c>
    </row>
    <row r="196">
      <c r="A196" t="inlineStr">
        <is>
          <t>ש"ס</t>
        </is>
      </c>
      <c r="B196" t="n">
        <v>1</v>
      </c>
      <c r="C196" t="inlineStr">
        <is>
          <t>אריה דרעי</t>
        </is>
      </c>
      <c r="D196" t="inlineStr">
        <is>
          <t>ז</t>
        </is>
      </c>
      <c r="E196" t="inlineStr">
        <is>
          <t>חבר/ת כנסת מכהן/ת (מפלגה חד-מגדרית באופן היסטורי)</t>
        </is>
      </c>
    </row>
    <row r="197">
      <c r="A197" t="inlineStr">
        <is>
          <t>ש"ס</t>
        </is>
      </c>
      <c r="B197" t="n">
        <v>2</v>
      </c>
      <c r="C197" t="inlineStr">
        <is>
          <t>יעקב מרגי</t>
        </is>
      </c>
      <c r="D197" t="inlineStr">
        <is>
          <t>ז</t>
        </is>
      </c>
      <c r="E197" t="inlineStr">
        <is>
          <t>חבר/ת כנסת מכהן/ת (מפלגה חד-מגדרית באופן היסטורי)</t>
        </is>
      </c>
    </row>
    <row r="198">
      <c r="A198" t="inlineStr">
        <is>
          <t>ש"ס</t>
        </is>
      </c>
      <c r="B198" t="n">
        <v>3</v>
      </c>
      <c r="C198" t="inlineStr">
        <is>
          <t>יואב בן צור</t>
        </is>
      </c>
      <c r="D198" t="inlineStr">
        <is>
          <t>ז</t>
        </is>
      </c>
      <c r="E198" t="inlineStr">
        <is>
          <t>חבר/ת כנסת מכהן/ת (מפלגה חד-מגדרית באופן היסטורי)</t>
        </is>
      </c>
    </row>
    <row r="199">
      <c r="A199" t="inlineStr">
        <is>
          <t>ש"ס</t>
        </is>
      </c>
      <c r="B199" t="n">
        <v>4</v>
      </c>
      <c r="C199" t="inlineStr">
        <is>
          <t>מיכאל מלכיאלי</t>
        </is>
      </c>
      <c r="D199" t="inlineStr">
        <is>
          <t>ז</t>
        </is>
      </c>
      <c r="E199" t="inlineStr">
        <is>
          <t>חבר/ת כנסת מכהן/ת (מפלגה חד-מגדרית באופן היסטורי)</t>
        </is>
      </c>
    </row>
    <row r="200">
      <c r="A200" t="inlineStr">
        <is>
          <t>ש"ס</t>
        </is>
      </c>
      <c r="B200" t="n">
        <v>5</v>
      </c>
      <c r="C200" t="inlineStr">
        <is>
          <t>חיים ביטון</t>
        </is>
      </c>
      <c r="D200" t="inlineStr">
        <is>
          <t>ז</t>
        </is>
      </c>
      <c r="E200" t="inlineStr">
        <is>
          <t>חבר/ת כנסת מכהן/ת (מפלגה חד-מגדרית באופן היסטורי)</t>
        </is>
      </c>
    </row>
    <row r="201">
      <c r="A201" t="inlineStr">
        <is>
          <t>ש"ס</t>
        </is>
      </c>
      <c r="B201" t="n">
        <v>6</v>
      </c>
      <c r="C201" t="inlineStr">
        <is>
          <t>משה ארבל</t>
        </is>
      </c>
      <c r="D201" t="inlineStr">
        <is>
          <t>ז</t>
        </is>
      </c>
      <c r="E201" t="inlineStr">
        <is>
          <t>חבר/ת כנסת מכהן/ת (מפלגה חד-מגדרית באופן היסטורי)</t>
        </is>
      </c>
    </row>
    <row r="202">
      <c r="A202" t="inlineStr">
        <is>
          <t>ש"ס</t>
        </is>
      </c>
      <c r="B202" t="n">
        <v>7</v>
      </c>
      <c r="C202" t="inlineStr">
        <is>
          <t>ינון אזולאי</t>
        </is>
      </c>
      <c r="D202" t="inlineStr">
        <is>
          <t>ז</t>
        </is>
      </c>
      <c r="E202" t="inlineStr">
        <is>
          <t>חבר/ת כנסת מכהן/ת (מפלגה חד-מגדרית באופן היסטורי)</t>
        </is>
      </c>
    </row>
    <row r="203">
      <c r="A203" t="inlineStr">
        <is>
          <t>ש"ס</t>
        </is>
      </c>
      <c r="B203" t="n">
        <v>8</v>
      </c>
      <c r="C203" t="inlineStr">
        <is>
          <t>משה אבוטבול</t>
        </is>
      </c>
      <c r="D203" t="inlineStr">
        <is>
          <t>ז</t>
        </is>
      </c>
      <c r="E203" t="inlineStr">
        <is>
          <t>חבר/ת כנסת מכהן/ת (מפלגה חד-מגדרית באופן היסטורי)</t>
        </is>
      </c>
    </row>
  </sheetData>
  <autoFilter ref="A1:E203">
    <sortState ref="A2:E203">
      <sortCondition ref="A1:A203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zoomScaleNormal="100" workbookViewId="0">
      <selection activeCell="D3" sqref="D3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2" t="inlineStr">
        <is>
          <t>מפלגה</t>
        </is>
      </c>
      <c r="B1" s="12" t="inlineStr">
        <is>
          <t>מנדטים צפויים</t>
        </is>
      </c>
      <c r="C1" s="12" t="inlineStr">
        <is>
          <t>כמות נשים צפויה</t>
        </is>
      </c>
      <c r="D1" s="12" t="inlineStr">
        <is>
          <t>כמות גברים צפויה</t>
        </is>
      </c>
      <c r="E1" s="12" t="inlineStr">
        <is>
          <t>אחוז נשים צפוי</t>
        </is>
      </c>
      <c r="F1" s="12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s="10" t="inlineStr">
        <is>
          <t>הליכוד</t>
        </is>
      </c>
      <c r="B2" s="10">
        <f>INDEX('סקר 2026'!$D:$D,MATCH(A2,'סקר 2026'!$A:$A,0))</f>
        <v/>
      </c>
      <c r="C2" s="10">
        <f>COUNTIFS('מועמדים 2026'!$A:$A,A2,'מועמדים 2026'!$D:$D,"נ",'מועמדים 2026'!$B:$B,"&lt;="&amp;B2)</f>
        <v/>
      </c>
      <c r="D2" s="10">
        <f>COUNTIFS('מועמדים 2026'!$A:$A,A2,'מועמדים 2026'!$D:$D,"ז",'מועמדים 2026'!$B:$B,"&lt;="&amp;B2)</f>
        <v/>
      </c>
      <c r="E2" s="14">
        <f>IF(B2=0,0,C2/B2)</f>
        <v/>
      </c>
      <c r="F2" s="1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t="n">
        <v>32</v>
      </c>
      <c r="H2" t="n">
        <v>7</v>
      </c>
      <c r="I2" s="15">
        <f>IF(G2=0,0,H2/G2)</f>
        <v/>
      </c>
    </row>
    <row r="3" ht="15" customHeight="1">
      <c r="A3" s="10" t="inlineStr">
        <is>
          <t>ישר!</t>
        </is>
      </c>
      <c r="B3" s="10">
        <f>INDEX('סקר 2026'!$D:$D,MATCH(A3,'סקר 2026'!$A:$A,0))</f>
        <v/>
      </c>
      <c r="C3" s="10">
        <f>COUNTIFS('מועמדים 2026'!$A:$A,A3,'מועמדים 2026'!$D:$D,"נ",'מועמדים 2026'!$B:$B,"&lt;="&amp;B3)</f>
        <v/>
      </c>
      <c r="D3" s="10">
        <f>COUNTIFS('מועמדים 2026'!$A:$A,A3,'מועמדים 2026'!$D:$D,"ז",'מועמדים 2026'!$B:$B,"&lt;="&amp;B3)</f>
        <v/>
      </c>
      <c r="E3" s="14">
        <f>IF(B3=0,0,C3/B3)</f>
        <v/>
      </c>
      <c r="F3" s="13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t="n">
        <v>0</v>
      </c>
      <c r="H3" t="n">
        <v>0</v>
      </c>
      <c r="I3" s="15">
        <f>IF(G3=0,0,H3/G3)</f>
        <v/>
      </c>
    </row>
    <row r="4" ht="15" customHeight="1">
      <c r="A4" s="10" t="inlineStr">
        <is>
          <t>ביחד (בנט-לפיד)</t>
        </is>
      </c>
      <c r="B4" s="10">
        <f>INDEX('סקר 2026'!$D:$D,MATCH(A4,'סקר 2026'!$A:$A,0))</f>
        <v/>
      </c>
      <c r="C4" s="10">
        <f>COUNTIFS('מועמדים 2026'!$A:$A,A4,'מועמדים 2026'!$D:$D,"נ",'מועמדים 2026'!$B:$B,"&lt;="&amp;B4)</f>
        <v/>
      </c>
      <c r="D4" s="10">
        <f>COUNTIFS('מועמדים 2026'!$A:$A,A4,'מועמדים 2026'!$D:$D,"ז",'מועמדים 2026'!$B:$B,"&lt;="&amp;B4)</f>
        <v/>
      </c>
      <c r="E4" s="14">
        <f>IF(B4=0,0,C4/B4)</f>
        <v/>
      </c>
      <c r="F4" s="1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t="n">
        <v>24</v>
      </c>
      <c r="H4" t="n">
        <v>9</v>
      </c>
      <c r="I4" s="15">
        <f>IF(G4=0,0,H4/G4)</f>
        <v/>
      </c>
    </row>
    <row r="5" ht="15" customHeight="1">
      <c r="A5" s="10" t="inlineStr">
        <is>
          <t>הדמוקרטים</t>
        </is>
      </c>
      <c r="B5" s="10">
        <f>INDEX('סקר 2026'!$D:$D,MATCH(A5,'סקר 2026'!$A:$A,0))</f>
        <v/>
      </c>
      <c r="C5" s="10">
        <f>COUNTIFS('מועמדים 2026'!$A:$A,A5,'מועמדים 2026'!$D:$D,"נ",'מועמדים 2026'!$B:$B,"&lt;="&amp;B5)</f>
        <v/>
      </c>
      <c r="D5" s="10">
        <f>COUNTIFS('מועמדים 2026'!$A:$A,A5,'מועמדים 2026'!$D:$D,"ז",'מועמדים 2026'!$B:$B,"&lt;="&amp;B5)</f>
        <v/>
      </c>
      <c r="E5" s="14">
        <f>IF(B5=0,0,C5/B5)</f>
        <v/>
      </c>
      <c r="F5" s="1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 s="15">
        <f>IF(G5=0,0,H5/G5)</f>
        <v/>
      </c>
    </row>
    <row r="6" ht="15" customHeight="1">
      <c r="A6" s="10" t="inlineStr">
        <is>
          <t>ישראל ביתנו</t>
        </is>
      </c>
      <c r="B6" s="10">
        <f>INDEX('סקר 2026'!$D:$D,MATCH(A6,'סקר 2026'!$A:$A,0))</f>
        <v/>
      </c>
      <c r="C6" s="10">
        <f>COUNTIFS('מועמדים 2026'!$A:$A,A6,'מועמדים 2026'!$D:$D,"נ",'מועמדים 2026'!$B:$B,"&lt;="&amp;B6)</f>
        <v/>
      </c>
      <c r="D6" s="10">
        <f>COUNTIFS('מועמדים 2026'!$A:$A,A6,'מועמדים 2026'!$D:$D,"ז",'מועמדים 2026'!$B:$B,"&lt;="&amp;B6)</f>
        <v/>
      </c>
      <c r="E6" s="14">
        <f>IF(B6=0,0,C6/B6)</f>
        <v/>
      </c>
      <c r="F6" s="13" t="inlineStr">
        <is>
          <t>3 המקומות האחרונים (7-9) משוערים על סמך שמות שדווחו בתקשורת</t>
        </is>
      </c>
      <c r="G6" t="n">
        <v>6</v>
      </c>
      <c r="H6" t="n">
        <v>2</v>
      </c>
      <c r="I6" s="15">
        <f>IF(G6=0,0,H6/G6)</f>
        <v/>
      </c>
    </row>
    <row r="7" ht="15" customHeight="1">
      <c r="A7" s="10" t="inlineStr">
        <is>
          <t>ש"ס</t>
        </is>
      </c>
      <c r="B7" s="10">
        <f>INDEX('סקר 2026'!$D:$D,MATCH(A7,'סקר 2026'!$A:$A,0))</f>
        <v/>
      </c>
      <c r="C7" s="10">
        <f>COUNTIFS('מועמדים 2026'!$A:$A,A7,'מועמדים 2026'!$D:$D,"נ",'מועמדים 2026'!$B:$B,"&lt;="&amp;B7)</f>
        <v/>
      </c>
      <c r="D7" s="10">
        <f>COUNTIFS('מועמדים 2026'!$A:$A,A7,'מועמדים 2026'!$D:$D,"ז",'מועמדים 2026'!$B:$B,"&lt;="&amp;B7)</f>
        <v/>
      </c>
      <c r="E7" s="14">
        <f>IF(B7=0,0,C7/B7)</f>
        <v/>
      </c>
      <c r="F7" s="13" t="inlineStr">
        <is>
          <t>מפלגה חד-מגדרית באופן היסטורי</t>
        </is>
      </c>
      <c r="G7" t="n">
        <v>11</v>
      </c>
      <c r="H7" t="n">
        <v>0</v>
      </c>
      <c r="I7" s="15">
        <f>IF(G7=0,0,H7/G7)</f>
        <v/>
      </c>
    </row>
    <row r="8" ht="15" customHeight="1">
      <c r="A8" s="10" t="inlineStr">
        <is>
          <t>עוצמה יהודית</t>
        </is>
      </c>
      <c r="B8" s="10">
        <f>INDEX('סקר 2026'!$D:$D,MATCH(A8,'סקר 2026'!$A:$A,0))</f>
        <v/>
      </c>
      <c r="C8" s="10">
        <f>COUNTIFS('מועמדים 2026'!$A:$A,A8,'מועמדים 2026'!$D:$D,"נ",'מועמדים 2026'!$B:$B,"&lt;="&amp;B8)</f>
        <v/>
      </c>
      <c r="D8" s="10">
        <f>COUNTIFS('מועמדים 2026'!$A:$A,A8,'מועמדים 2026'!$D:$D,"ז",'מועמדים 2026'!$B:$B,"&lt;="&amp;B8)</f>
        <v/>
      </c>
      <c r="E8" s="14">
        <f>IF(B8=0,0,C8/B8)</f>
        <v/>
      </c>
      <c r="F8" s="13" t="inlineStr">
        <is>
          <t>מיקום 8 לא אותר - חסר בנתונים</t>
        </is>
      </c>
      <c r="G8" t="n">
        <v>6</v>
      </c>
      <c r="H8" t="n">
        <v>1</v>
      </c>
      <c r="I8" s="15">
        <f>IF(G8=0,0,H8/G8)</f>
        <v/>
      </c>
    </row>
    <row r="9" ht="15" customHeight="1">
      <c r="A9" s="10" t="inlineStr">
        <is>
          <t>יהדות התורה</t>
        </is>
      </c>
      <c r="B9" s="10">
        <f>INDEX('סקר 2026'!$D:$D,MATCH(A9,'סקר 2026'!$A:$A,0))</f>
        <v/>
      </c>
      <c r="C9" s="10">
        <f>COUNTIFS('מועמדים 2026'!$A:$A,A9,'מועמדים 2026'!$D:$D,"נ",'מועמדים 2026'!$B:$B,"&lt;="&amp;B9)</f>
        <v/>
      </c>
      <c r="D9" s="10">
        <f>COUNTIFS('מועמדים 2026'!$A:$A,A9,'מועמדים 2026'!$D:$D,"ז",'מועמדים 2026'!$B:$B,"&lt;="&amp;B9)</f>
        <v/>
      </c>
      <c r="E9" s="14">
        <f>IF(B9=0,0,C9/B9)</f>
        <v/>
      </c>
      <c r="F9" s="13" t="inlineStr">
        <is>
          <t>מפלגה חד-מגדרית באופן היסטורי; מיקום 8 משוער</t>
        </is>
      </c>
      <c r="G9" t="n">
        <v>7</v>
      </c>
      <c r="H9" t="n">
        <v>0</v>
      </c>
      <c r="I9" s="15">
        <f>IF(G9=0,0,H9/G9)</f>
        <v/>
      </c>
    </row>
    <row r="10" ht="15" customHeight="1">
      <c r="A10" s="10" t="inlineStr">
        <is>
          <t>חדש תע"ל</t>
        </is>
      </c>
      <c r="B10" s="10">
        <f>INDEX('סקר 2026'!$D:$D,MATCH(A10,'סקר 2026'!$A:$A,0))</f>
        <v/>
      </c>
      <c r="C10" s="10">
        <f>COUNTIFS('מועמדים 2026'!$A:$A,A10,'מועמדים 2026'!$D:$D,"נ",'מועמדים 2026'!$B:$B,"&lt;="&amp;B10)</f>
        <v/>
      </c>
      <c r="D10" s="10">
        <f>COUNTIFS('מועמדים 2026'!$A:$A,A10,'מועמדים 2026'!$D:$D,"ז",'מועמדים 2026'!$B:$B,"&lt;="&amp;B10)</f>
        <v/>
      </c>
      <c r="E10" s="14">
        <f>IF(B10=0,0,C10/B10)</f>
        <v/>
      </c>
      <c r="F10" s="1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 s="15">
        <f>IF(G10=0,0,H10/G10)</f>
        <v/>
      </c>
    </row>
    <row r="11" ht="15" customHeight="1">
      <c r="A11" s="10" t="inlineStr">
        <is>
          <t>הציונות הדתית</t>
        </is>
      </c>
      <c r="B11" s="10">
        <f>INDEX('סקר 2026'!$D:$D,MATCH(A11,'סקר 2026'!$A:$A,0))</f>
        <v/>
      </c>
      <c r="C11" s="10">
        <f>COUNTIFS('מועמדים 2026'!$A:$A,A11,'מועמדים 2026'!$D:$D,"נ",'מועמדים 2026'!$B:$B,"&lt;="&amp;B11)</f>
        <v/>
      </c>
      <c r="D11" s="10">
        <f>COUNTIFS('מועמדים 2026'!$A:$A,A11,'מועמדים 2026'!$D:$D,"ז",'מועמדים 2026'!$B:$B,"&lt;="&amp;B11)</f>
        <v/>
      </c>
      <c r="E11" s="14">
        <f>IF(B11=0,0,C11/B11)</f>
        <v/>
      </c>
      <c r="F11" s="1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t="n">
        <v>7</v>
      </c>
      <c r="H11" t="n">
        <v>2</v>
      </c>
      <c r="I11" s="15">
        <f>IF(G11=0,0,H11/G11)</f>
        <v/>
      </c>
    </row>
    <row r="12" ht="15" customHeight="1">
      <c r="A12" s="10" t="inlineStr">
        <is>
          <t>רע"מ</t>
        </is>
      </c>
      <c r="B12" s="10">
        <f>INDEX('סקר 2026'!$D:$D,MATCH(A12,'סקר 2026'!$A:$A,0))</f>
        <v/>
      </c>
      <c r="C12" s="10">
        <f>COUNTIFS('מועמדים 2026'!$A:$A,A12,'מועמדים 2026'!$D:$D,"נ",'מועמדים 2026'!$B:$B,"&lt;="&amp;B12)</f>
        <v/>
      </c>
      <c r="D12" s="10">
        <f>COUNTIFS('מועמדים 2026'!$A:$A,A12,'מועמדים 2026'!$D:$D,"ז",'מועמדים 2026'!$B:$B,"&lt;="&amp;B12)</f>
        <v/>
      </c>
      <c r="E12" s="14">
        <f>IF(B12=0,0,C12/B12)</f>
        <v/>
      </c>
      <c r="F12" s="13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 s="15">
        <f>IF(G12=0,0,H12/G12)</f>
        <v/>
      </c>
    </row>
    <row r="13" ht="15" customHeight="1">
      <c r="A13" s="10" t="inlineStr">
        <is>
          <t>טרופר-הנדל</t>
        </is>
      </c>
      <c r="B13" s="10">
        <f>INDEX('סקר 2026'!$D:$D,MATCH(A13,'סקר 2026'!$A:$A,0))</f>
        <v/>
      </c>
      <c r="C13" s="10">
        <f>COUNTIFS('מועמדים 2026'!$A:$A,A13,'מועמדים 2026'!$D:$D,"נ",'מועמדים 2026'!$B:$B,"&lt;="&amp;B13)</f>
        <v/>
      </c>
      <c r="D13" s="10">
        <f>COUNTIFS('מועמדים 2026'!$A:$A,A13,'מועמדים 2026'!$D:$D,"ז",'מועמדים 2026'!$B:$B,"&lt;="&amp;B13)</f>
        <v/>
      </c>
      <c r="E13" s="14">
        <f>IF(B13=0,0,C13/B13)</f>
        <v/>
      </c>
      <c r="F13" s="1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15">
        <f>IF(G13=0,0,H13/G13)</f>
        <v/>
      </c>
    </row>
    <row r="14" ht="15" customHeight="1">
      <c r="A14" s="10" t="inlineStr">
        <is>
          <t>כחול לבן</t>
        </is>
      </c>
      <c r="B14" s="10">
        <f>INDEX('סקר 2026'!$D:$D,MATCH(A14,'סקר 2026'!$A:$A,0))</f>
        <v/>
      </c>
      <c r="C14" s="10">
        <f>COUNTIFS('מועמדים 2026'!$A:$A,A14,'מועמדים 2026'!$D:$D,"נ",'מועמדים 2026'!$B:$B,"&lt;="&amp;B14)</f>
        <v/>
      </c>
      <c r="D14" s="10">
        <f>COUNTIFS('מועמדים 2026'!$A:$A,A14,'מועמדים 2026'!$D:$D,"ז",'מועמדים 2026'!$B:$B,"&lt;="&amp;B14)</f>
        <v/>
      </c>
      <c r="E14" s="14">
        <f>IF(B14=0,0,C14/B14)</f>
        <v/>
      </c>
      <c r="F14" s="13" t="inlineStr">
        <is>
          <t>0 מנדטים חזויים (מתחת לסף שנקבע) - לא נספר</t>
        </is>
      </c>
      <c r="G14" t="n">
        <v>8</v>
      </c>
      <c r="H14" t="n">
        <v>2</v>
      </c>
      <c r="I14" s="15">
        <f>IF(G14=0,0,H14/G14)</f>
        <v/>
      </c>
    </row>
    <row r="15" ht="15" customHeight="1">
      <c r="A15" s="10" t="inlineStr">
        <is>
          <t>בל"ד</t>
        </is>
      </c>
      <c r="B15" s="10">
        <f>INDEX('סקר 2026'!$D:$D,MATCH(A15,'סקר 2026'!$A:$A,0))</f>
        <v/>
      </c>
      <c r="C15" s="10">
        <f>COUNTIFS('מועמדים 2026'!$A:$A,A15,'מועמדים 2026'!$D:$D,"נ",'מועמדים 2026'!$B:$B,"&lt;="&amp;B15)</f>
        <v/>
      </c>
      <c r="D15" s="10">
        <f>COUNTIFS('מועמדים 2026'!$A:$A,A15,'מועמדים 2026'!$D:$D,"ז",'מועמדים 2026'!$B:$B,"&lt;="&amp;B15)</f>
        <v/>
      </c>
      <c r="E15" s="14">
        <f>IF(B15=0,0,C15/B15)</f>
        <v/>
      </c>
      <c r="F15" s="13" t="inlineStr">
        <is>
          <t>0 מנדטים חזויים (מתחת לסף שנקבע) - לא נספר</t>
        </is>
      </c>
      <c r="I15" s="15" t="n"/>
    </row>
    <row r="16" ht="15" customHeight="1">
      <c r="A16" s="10" t="inlineStr">
        <is>
          <t>רשימה ערבית מאוחדת</t>
        </is>
      </c>
      <c r="B16" s="10">
        <f>INDEX('סקר 2026'!$D:$D,MATCH(A16,'סקר 2026'!$A:$A,0))</f>
        <v/>
      </c>
      <c r="C16" s="10">
        <f>COUNTIFS('מועמדים 2026'!$A:$A,A16,'מועמדים 2026'!$D:$D,"נ",'מועמדים 2026'!$B:$B,"&lt;="&amp;B16)</f>
        <v/>
      </c>
      <c r="D16" s="10">
        <f>COUNTIFS('מועמדים 2026'!$A:$A,A16,'מועמדים 2026'!$D:$D,"ז",'מועמדים 2026'!$B:$B,"&lt;="&amp;B16)</f>
        <v/>
      </c>
      <c r="E16" s="14">
        <f>IF(B16=0,0,C16/B16)</f>
        <v/>
      </c>
      <c r="F16" s="13" t="inlineStr">
        <is>
          <t>0 מנדטים חזויים (מתחת לסף שנקבע) - לא נספר</t>
        </is>
      </c>
      <c r="I16" s="15" t="n"/>
    </row>
    <row r="17" ht="15" customHeight="1">
      <c r="A17" s="12" t="inlineStr">
        <is>
          <t>סה"כ</t>
        </is>
      </c>
      <c r="B17" s="12">
        <f>SUM(B2:B16)</f>
        <v/>
      </c>
      <c r="C17" s="12">
        <f>SUM(C2:C16)</f>
        <v/>
      </c>
      <c r="D17" s="12">
        <f>SUM(D2:D16)</f>
        <v/>
      </c>
      <c r="E17" s="16">
        <f>IF(B17=0,0,C17/B17)</f>
        <v/>
      </c>
      <c r="G17">
        <f>SUM(G2:G16)</f>
        <v/>
      </c>
      <c r="H17">
        <f>SUM(H2:H16)</f>
        <v/>
      </c>
      <c r="I17" s="15">
        <f>IF(G17=0,0,H17/G17)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:I1048576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חדש תע"ל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זמן ישראל</t>
        </is>
      </c>
      <c r="B14">
        <f>INDEX('סקרים לפי ערוץ'!$B:$B,MATCH($A14,'סקרים לפי ערוץ'!$A:$A,0))</f>
        <v/>
      </c>
      <c r="C14" t="inlineStr">
        <is>
          <t>הליכוד</t>
        </is>
      </c>
      <c r="D14">
        <f>INDEX('סקרים לפי ערוץ'!E:E,MATCH($A14,'סקרים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זמן ישראל</t>
        </is>
      </c>
      <c r="B15">
        <f>INDEX('סקרים לפי ערוץ'!$B:$B,MATCH($A15,'סקרים לפי ערוץ'!$A:$A,0))</f>
        <v/>
      </c>
      <c r="C15" t="inlineStr">
        <is>
          <t>יהדות התורה</t>
        </is>
      </c>
      <c r="D15">
        <f>INDEX('סקרים לפי ערוץ'!F:F,MATCH($A15,'סקרים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זמן ישראל</t>
        </is>
      </c>
      <c r="B16">
        <f>INDEX('סקרים לפי ערוץ'!$B:$B,MATCH($A16,'סקרים לפי ערוץ'!$A:$A,0))</f>
        <v/>
      </c>
      <c r="C16" t="inlineStr">
        <is>
          <t>ש"ס</t>
        </is>
      </c>
      <c r="D16">
        <f>INDEX('סקרים לפי ערוץ'!G:G,MATCH($A16,'סקרים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כחול לבן</t>
        </is>
      </c>
      <c r="D17">
        <f>INDEX('סקרים לפי ערוץ'!H:H,MATCH($A17,'סקרים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חדש תע"ל</t>
        </is>
      </c>
      <c r="D18">
        <f>INDEX('סקרים לפי ערוץ'!I:I,MATCH($A18,'סקרים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ישראל ביתנו</t>
        </is>
      </c>
      <c r="D19">
        <f>INDEX('סקרים לפי ערוץ'!J:J,MATCH($A19,'סקרים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הדמוקרטים</t>
        </is>
      </c>
      <c r="D20">
        <f>INDEX('סקרים לפי ערוץ'!K:K,MATCH($A20,'סקרים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הציונות הדתית</t>
        </is>
      </c>
      <c r="D21">
        <f>INDEX('סקרים לפי ערוץ'!L:L,MATCH($A21,'סקרים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רע"מ</t>
        </is>
      </c>
      <c r="D22">
        <f>INDEX('סקרים לפי ערוץ'!M:M,MATCH($A22,'סקרים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עוצמה יהודית</t>
        </is>
      </c>
      <c r="D23">
        <f>INDEX('סקרים לפי ערוץ'!N:N,MATCH($A23,'סקרים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ביחד (בנט-לפיד)</t>
        </is>
      </c>
      <c r="D24">
        <f>INDEX('סקרים לפי ערוץ'!O:O,MATCH($A24,'סקרים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ישר!</t>
        </is>
      </c>
      <c r="D25">
        <f>INDEX('סקרים לפי ערוץ'!P:P,MATCH($A25,'סקרים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חדשות 13</t>
        </is>
      </c>
      <c r="B26">
        <f>INDEX('סקרים לפי ערוץ'!$B:$B,MATCH($A26,'סקרים לפי ערוץ'!$A:$A,0))</f>
        <v/>
      </c>
      <c r="C26" t="inlineStr">
        <is>
          <t>הליכוד</t>
        </is>
      </c>
      <c r="D26">
        <f>INDEX('סקרים לפי ערוץ'!E:E,MATCH($A26,'סקרים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חדשות 13</t>
        </is>
      </c>
      <c r="B27">
        <f>INDEX('סקרים לפי ערוץ'!$B:$B,MATCH($A27,'סקרים לפי ערוץ'!$A:$A,0))</f>
        <v/>
      </c>
      <c r="C27" t="inlineStr">
        <is>
          <t>יהדות התורה</t>
        </is>
      </c>
      <c r="D27">
        <f>INDEX('סקרים לפי ערוץ'!F:F,MATCH($A27,'סקרים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חדשות 13</t>
        </is>
      </c>
      <c r="B28">
        <f>INDEX('סקרים לפי ערוץ'!$B:$B,MATCH($A28,'סקרים לפי ערוץ'!$A:$A,0))</f>
        <v/>
      </c>
      <c r="C28" t="inlineStr">
        <is>
          <t>ש"ס</t>
        </is>
      </c>
      <c r="D28">
        <f>INDEX('סקרים לפי ערוץ'!G:G,MATCH($A28,'סקרים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חדשות 13</t>
        </is>
      </c>
      <c r="B29">
        <f>INDEX('סקרים לפי ערוץ'!$B:$B,MATCH($A29,'סקרים לפי ערוץ'!$A:$A,0))</f>
        <v/>
      </c>
      <c r="C29" t="inlineStr">
        <is>
          <t>כחול לבן</t>
        </is>
      </c>
      <c r="D29">
        <f>INDEX('סקרים לפי ערוץ'!H:H,MATCH($A29,'סקרים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חדשות 13</t>
        </is>
      </c>
      <c r="B30">
        <f>INDEX('סקרים לפי ערוץ'!$B:$B,MATCH($A30,'סקרים לפי ערוץ'!$A:$A,0))</f>
        <v/>
      </c>
      <c r="C30" t="inlineStr">
        <is>
          <t>חדש תע"ל</t>
        </is>
      </c>
      <c r="D30">
        <f>INDEX('סקרים לפי ערוץ'!I:I,MATCH($A30,'סקרים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חדשות 13</t>
        </is>
      </c>
      <c r="B31">
        <f>INDEX('סקרים לפי ערוץ'!$B:$B,MATCH($A31,'סקרים לפי ערוץ'!$A:$A,0))</f>
        <v/>
      </c>
      <c r="C31" t="inlineStr">
        <is>
          <t>ישראל ביתנו</t>
        </is>
      </c>
      <c r="D31">
        <f>INDEX('סקרים לפי ערוץ'!J:J,MATCH($A31,'סקרים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הדמוקרטים</t>
        </is>
      </c>
      <c r="D32">
        <f>INDEX('סקרים לפי ערוץ'!K:K,MATCH($A32,'סקרים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הציונות הדתית</t>
        </is>
      </c>
      <c r="D33">
        <f>INDEX('סקרים לפי ערוץ'!L:L,MATCH($A33,'סקרים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רע"מ</t>
        </is>
      </c>
      <c r="D34">
        <f>INDEX('סקרים לפי ערוץ'!M:M,MATCH($A34,'סקרים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עוצמה יהודית</t>
        </is>
      </c>
      <c r="D35">
        <f>INDEX('סקרים לפי ערוץ'!N:N,MATCH($A35,'סקרים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ביחד (בנט-לפיד)</t>
        </is>
      </c>
      <c r="D36">
        <f>INDEX('סקרים לפי ערוץ'!O:O,MATCH($A36,'סקרים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ישר!</t>
        </is>
      </c>
      <c r="D37">
        <f>INDEX('סקרים לפי ערוץ'!P:P,MATCH($A37,'סקרים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הליכוד</t>
        </is>
      </c>
      <c r="D38">
        <f>INDEX('סקרים לפי ערוץ'!E:E,MATCH($A38,'סקרים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יהדות התורה</t>
        </is>
      </c>
      <c r="D39">
        <f>INDEX('סקרים לפי ערוץ'!F:F,MATCH($A39,'סקרים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ש"ס</t>
        </is>
      </c>
      <c r="D40">
        <f>INDEX('סקרים לפי ערוץ'!G:G,MATCH($A40,'סקרים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כחול לבן</t>
        </is>
      </c>
      <c r="D41">
        <f>INDEX('סקרים לפי ערוץ'!H:H,MATCH($A41,'סקרים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חדש תע"ל</t>
        </is>
      </c>
      <c r="D42">
        <f>INDEX('סקרים לפי ערוץ'!I:I,MATCH($A42,'סקרים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ישראל ביתנו</t>
        </is>
      </c>
      <c r="D43">
        <f>INDEX('סקרים לפי ערוץ'!J:J,MATCH($A43,'סקרים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ערוץ 14</t>
        </is>
      </c>
      <c r="B44">
        <f>INDEX('סקרים לפי ערוץ'!$B:$B,MATCH($A44,'סקרים לפי ערוץ'!$A:$A,0))</f>
        <v/>
      </c>
      <c r="C44" t="inlineStr">
        <is>
          <t>הדמוקרטים</t>
        </is>
      </c>
      <c r="D44">
        <f>INDEX('סקרים לפי ערוץ'!K:K,MATCH($A44,'סקרים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ערוץ 14</t>
        </is>
      </c>
      <c r="B45">
        <f>INDEX('סקרים לפי ערוץ'!$B:$B,MATCH($A45,'סקרים לפי ערוץ'!$A:$A,0))</f>
        <v/>
      </c>
      <c r="C45" t="inlineStr">
        <is>
          <t>הציונות הדתית</t>
        </is>
      </c>
      <c r="D45">
        <f>INDEX('סקרים לפי ערוץ'!L:L,MATCH($A45,'סקרים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ערוץ 14</t>
        </is>
      </c>
      <c r="B46">
        <f>INDEX('סקרים לפי ערוץ'!$B:$B,MATCH($A46,'סקרים לפי ערוץ'!$A:$A,0))</f>
        <v/>
      </c>
      <c r="C46" t="inlineStr">
        <is>
          <t>רע"מ</t>
        </is>
      </c>
      <c r="D46">
        <f>INDEX('סקרים לפי ערוץ'!M:M,MATCH($A46,'סקרים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עוצמה יהודית</t>
        </is>
      </c>
      <c r="D47">
        <f>INDEX('סקרים לפי ערוץ'!N:N,MATCH($A47,'סקרים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ביחד (בנט-לפיד)</t>
        </is>
      </c>
      <c r="D48">
        <f>INDEX('סקרים לפי ערוץ'!O:O,MATCH($A48,'סקרים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ישר!</t>
        </is>
      </c>
      <c r="D49">
        <f>INDEX('סקרים לפי ערוץ'!P:P,MATCH($A49,'סקרים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i24 news</t>
        </is>
      </c>
      <c r="B50">
        <f>INDEX('סקרים לפי ערוץ'!$B:$B,MATCH($A50,'סקרים לפי ערוץ'!$A:$A,0))</f>
        <v/>
      </c>
      <c r="C50" t="inlineStr">
        <is>
          <t>הליכוד</t>
        </is>
      </c>
      <c r="D50">
        <f>INDEX('סקרים לפי ערוץ'!E:E,MATCH($A50,'סקרים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i24 news</t>
        </is>
      </c>
      <c r="B51">
        <f>INDEX('סקרים לפי ערוץ'!$B:$B,MATCH($A51,'סקרים לפי ערוץ'!$A:$A,0))</f>
        <v/>
      </c>
      <c r="C51" t="inlineStr">
        <is>
          <t>יהדות התורה</t>
        </is>
      </c>
      <c r="D51">
        <f>INDEX('סקרים לפי ערוץ'!F:F,MATCH($A51,'סקרים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i24 news</t>
        </is>
      </c>
      <c r="B52">
        <f>INDEX('סקרים לפי ערוץ'!$B:$B,MATCH($A52,'סקרים לפי ערוץ'!$A:$A,0))</f>
        <v/>
      </c>
      <c r="C52" t="inlineStr">
        <is>
          <t>ש"ס</t>
        </is>
      </c>
      <c r="D52">
        <f>INDEX('סקרים לפי ערוץ'!G:G,MATCH($A52,'סקרים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i24 news</t>
        </is>
      </c>
      <c r="B53">
        <f>INDEX('סקרים לפי ערוץ'!$B:$B,MATCH($A53,'סקרים לפי ערוץ'!$A:$A,0))</f>
        <v/>
      </c>
      <c r="C53" t="inlineStr">
        <is>
          <t>כחול לבן</t>
        </is>
      </c>
      <c r="D53">
        <f>INDEX('סקרים לפי ערוץ'!H:H,MATCH($A53,'סקרים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i24 news</t>
        </is>
      </c>
      <c r="B54">
        <f>INDEX('סקרים לפי ערוץ'!$B:$B,MATCH($A54,'סקרים לפי ערוץ'!$A:$A,0))</f>
        <v/>
      </c>
      <c r="C54" t="inlineStr">
        <is>
          <t>חדש תע"ל</t>
        </is>
      </c>
      <c r="D54">
        <f>INDEX('סקרים לפי ערוץ'!I:I,MATCH($A54,'סקרים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i24 news</t>
        </is>
      </c>
      <c r="B55">
        <f>INDEX('סקרים לפי ערוץ'!$B:$B,MATCH($A55,'סקרים לפי ערוץ'!$A:$A,0))</f>
        <v/>
      </c>
      <c r="C55" t="inlineStr">
        <is>
          <t>ישראל ביתנו</t>
        </is>
      </c>
      <c r="D55">
        <f>INDEX('סקרים לפי ערוץ'!J:J,MATCH($A55,'סקרים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i24 news</t>
        </is>
      </c>
      <c r="B56">
        <f>INDEX('סקרים לפי ערוץ'!$B:$B,MATCH($A56,'סקרים לפי ערוץ'!$A:$A,0))</f>
        <v/>
      </c>
      <c r="C56" t="inlineStr">
        <is>
          <t>הדמוקרטים</t>
        </is>
      </c>
      <c r="D56">
        <f>INDEX('סקרים לפי ערוץ'!K:K,MATCH($A56,'סקרים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i24 news</t>
        </is>
      </c>
      <c r="B57">
        <f>INDEX('סקרים לפי ערוץ'!$B:$B,MATCH($A57,'סקרים לפי ערוץ'!$A:$A,0))</f>
        <v/>
      </c>
      <c r="C57" t="inlineStr">
        <is>
          <t>הציונות הדתית</t>
        </is>
      </c>
      <c r="D57">
        <f>INDEX('סקרים לפי ערוץ'!L:L,MATCH($A57,'סקרים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i24 news</t>
        </is>
      </c>
      <c r="B58">
        <f>INDEX('סקרים לפי ערוץ'!$B:$B,MATCH($A58,'סקרים לפי ערוץ'!$A:$A,0))</f>
        <v/>
      </c>
      <c r="C58" t="inlineStr">
        <is>
          <t>רע"מ</t>
        </is>
      </c>
      <c r="D58">
        <f>INDEX('סקרים לפי ערוץ'!M:M,MATCH($A58,'סקרים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i24 news</t>
        </is>
      </c>
      <c r="B59">
        <f>INDEX('סקרים לפי ערוץ'!$B:$B,MATCH($A59,'סקרים לפי ערוץ'!$A:$A,0))</f>
        <v/>
      </c>
      <c r="C59" t="inlineStr">
        <is>
          <t>עוצמה יהודית</t>
        </is>
      </c>
      <c r="D59">
        <f>INDEX('סקרים לפי ערוץ'!N:N,MATCH($A59,'סקרים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i24 news</t>
        </is>
      </c>
      <c r="B60">
        <f>INDEX('סקרים לפי ערוץ'!$B:$B,MATCH($A60,'סקרים לפי ערוץ'!$A:$A,0))</f>
        <v/>
      </c>
      <c r="C60" t="inlineStr">
        <is>
          <t>ביחד (בנט-לפיד)</t>
        </is>
      </c>
      <c r="D60">
        <f>INDEX('סקרים לפי ערוץ'!O:O,MATCH($A60,'סקרים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i24 news</t>
        </is>
      </c>
      <c r="B61">
        <f>INDEX('סקרים לפי ערוץ'!$B:$B,MATCH($A61,'סקרים לפי ערוץ'!$A:$A,0))</f>
        <v/>
      </c>
      <c r="C61" t="inlineStr">
        <is>
          <t>ישר!</t>
        </is>
      </c>
      <c r="D61">
        <f>INDEX('סקרים לפי ערוץ'!P:P,MATCH($A61,'סקרים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חדשות 12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חדשות 12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חדשות 12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חדשות 12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חדשות 12</t>
        </is>
      </c>
      <c r="B66">
        <f>INDEX('סקרים לפי ערוץ'!$B:$B,MATCH($A66,'סקרים לפי ערוץ'!$A:$A,0))</f>
        <v/>
      </c>
      <c r="C66" t="inlineStr">
        <is>
          <t>חדש תע"ל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חדשות 12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חדשות 12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חדשות 12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חדשות 12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חדשות 12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חדשות 12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חדשות 12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כאן חדשות</t>
        </is>
      </c>
      <c r="B74">
        <f>INDEX('סקרים לפי ערוץ'!$B:$B,MATCH($A74,'סקרים לפי ערוץ'!$A:$A,0))</f>
        <v/>
      </c>
      <c r="C74" t="inlineStr">
        <is>
          <t>הליכוד</t>
        </is>
      </c>
      <c r="D74">
        <f>INDEX('סקרים לפי ערוץ'!E:E,MATCH($A74,'סקרים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כאן חדשות</t>
        </is>
      </c>
      <c r="B75">
        <f>INDEX('סקרים לפי ערוץ'!$B:$B,MATCH($A75,'סקרים לפי ערוץ'!$A:$A,0))</f>
        <v/>
      </c>
      <c r="C75" t="inlineStr">
        <is>
          <t>יהדות התורה</t>
        </is>
      </c>
      <c r="D75">
        <f>INDEX('סקרים לפי ערוץ'!F:F,MATCH($A75,'סקרים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כאן חדשות</t>
        </is>
      </c>
      <c r="B76">
        <f>INDEX('סקרים לפי ערוץ'!$B:$B,MATCH($A76,'סקרים לפי ערוץ'!$A:$A,0))</f>
        <v/>
      </c>
      <c r="C76" t="inlineStr">
        <is>
          <t>ש"ס</t>
        </is>
      </c>
      <c r="D76">
        <f>INDEX('סקרים לפי ערוץ'!G:G,MATCH($A76,'סקרים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כאן חדשות</t>
        </is>
      </c>
      <c r="B77">
        <f>INDEX('סקרים לפי ערוץ'!$B:$B,MATCH($A77,'סקרים לפי ערוץ'!$A:$A,0))</f>
        <v/>
      </c>
      <c r="C77" t="inlineStr">
        <is>
          <t>כחול לבן</t>
        </is>
      </c>
      <c r="D77">
        <f>INDEX('סקרים לפי ערוץ'!H:H,MATCH($A77,'סקרים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כאן חדשות</t>
        </is>
      </c>
      <c r="B78">
        <f>INDEX('סקרים לפי ערוץ'!$B:$B,MATCH($A78,'סקרים לפי ערוץ'!$A:$A,0))</f>
        <v/>
      </c>
      <c r="C78" t="inlineStr">
        <is>
          <t>חדש תע"ל</t>
        </is>
      </c>
      <c r="D78">
        <f>INDEX('סקרים לפי ערוץ'!I:I,MATCH($A78,'סקרים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כאן חדשות</t>
        </is>
      </c>
      <c r="B79">
        <f>INDEX('סקרים לפי ערוץ'!$B:$B,MATCH($A79,'סקרים לפי ערוץ'!$A:$A,0))</f>
        <v/>
      </c>
      <c r="C79" t="inlineStr">
        <is>
          <t>ישראל ביתנו</t>
        </is>
      </c>
      <c r="D79">
        <f>INDEX('סקרים לפי ערוץ'!J:J,MATCH($A79,'סקרים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כאן חדשות</t>
        </is>
      </c>
      <c r="B80">
        <f>INDEX('סקרים לפי ערוץ'!$B:$B,MATCH($A80,'סקרים לפי ערוץ'!$A:$A,0))</f>
        <v/>
      </c>
      <c r="C80" t="inlineStr">
        <is>
          <t>הדמוקרטים</t>
        </is>
      </c>
      <c r="D80">
        <f>INDEX('סקרים לפי ערוץ'!K:K,MATCH($A80,'סקרים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כאן חדשות</t>
        </is>
      </c>
      <c r="B81">
        <f>INDEX('סקרים לפי ערוץ'!$B:$B,MATCH($A81,'סקרים לפי ערוץ'!$A:$A,0))</f>
        <v/>
      </c>
      <c r="C81" t="inlineStr">
        <is>
          <t>הציונות הדתית</t>
        </is>
      </c>
      <c r="D81">
        <f>INDEX('סקרים לפי ערוץ'!L:L,MATCH($A81,'סקרים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כאן חדשות</t>
        </is>
      </c>
      <c r="B82">
        <f>INDEX('סקרים לפי ערוץ'!$B:$B,MATCH($A82,'סקרים לפי ערוץ'!$A:$A,0))</f>
        <v/>
      </c>
      <c r="C82" t="inlineStr">
        <is>
          <t>רע"מ</t>
        </is>
      </c>
      <c r="D82">
        <f>INDEX('סקרים לפי ערוץ'!M:M,MATCH($A82,'סקרים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כאן חדשות</t>
        </is>
      </c>
      <c r="B83">
        <f>INDEX('סקרים לפי ערוץ'!$B:$B,MATCH($A83,'סקרים לפי ערוץ'!$A:$A,0))</f>
        <v/>
      </c>
      <c r="C83" t="inlineStr">
        <is>
          <t>עוצמה יהודית</t>
        </is>
      </c>
      <c r="D83">
        <f>INDEX('סקרים לפי ערוץ'!N:N,MATCH($A83,'סקרים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כאן חדשות</t>
        </is>
      </c>
      <c r="B84">
        <f>INDEX('סקרים לפי ערוץ'!$B:$B,MATCH($A84,'סקרים לפי ערוץ'!$A:$A,0))</f>
        <v/>
      </c>
      <c r="C84" t="inlineStr">
        <is>
          <t>ביחד (בנט-לפיד)</t>
        </is>
      </c>
      <c r="D84">
        <f>INDEX('סקרים לפי ערוץ'!O:O,MATCH($A84,'סקרים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כאן חדשות</t>
        </is>
      </c>
      <c r="B85">
        <f>INDEX('סקרים לפי ערוץ'!$B:$B,MATCH($A85,'סקרים לפי ערוץ'!$A:$A,0))</f>
        <v/>
      </c>
      <c r="C85" t="inlineStr">
        <is>
          <t>ישר!</t>
        </is>
      </c>
      <c r="D85">
        <f>INDEX('סקרים לפי ערוץ'!P:P,MATCH($A85,'סקרים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ישראל היום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ישראל היום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ישראל היום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ישראל היום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ישראל היום</t>
        </is>
      </c>
      <c r="B90">
        <f>INDEX('סקרים לפי ערוץ'!$B:$B,MATCH($A90,'סקרים לפי ערוץ'!$A:$A,0))</f>
        <v/>
      </c>
      <c r="C90" t="inlineStr">
        <is>
          <t>חדש תע"ל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ישראל היום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ישראל היום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ישראל היום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ישראל היום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ישראל היום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ישראל היום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ישראל היום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וואלה</t>
        </is>
      </c>
      <c r="B98">
        <f>INDEX('סקרים לפי ערוץ'!$B:$B,MATCH($A98,'סקרים לפי ערוץ'!$A:$A,0))</f>
        <v/>
      </c>
      <c r="C98" t="inlineStr">
        <is>
          <t>הליכוד</t>
        </is>
      </c>
      <c r="D98">
        <f>INDEX('סקרים לפי ערוץ'!E:E,MATCH($A98,'סקרים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וואלה</t>
        </is>
      </c>
      <c r="B99">
        <f>INDEX('סקרים לפי ערוץ'!$B:$B,MATCH($A99,'סקרים לפי ערוץ'!$A:$A,0))</f>
        <v/>
      </c>
      <c r="C99" t="inlineStr">
        <is>
          <t>יהדות התורה</t>
        </is>
      </c>
      <c r="D99">
        <f>INDEX('סקרים לפי ערוץ'!F:F,MATCH($A99,'סקרים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וואלה</t>
        </is>
      </c>
      <c r="B100">
        <f>INDEX('סקרים לפי ערוץ'!$B:$B,MATCH($A100,'סקרים לפי ערוץ'!$A:$A,0))</f>
        <v/>
      </c>
      <c r="C100" t="inlineStr">
        <is>
          <t>ש"ס</t>
        </is>
      </c>
      <c r="D100">
        <f>INDEX('סקרים לפי ערוץ'!G:G,MATCH($A100,'סקרים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וואלה</t>
        </is>
      </c>
      <c r="B101">
        <f>INDEX('סקרים לפי ערוץ'!$B:$B,MATCH($A101,'סקרים לפי ערוץ'!$A:$A,0))</f>
        <v/>
      </c>
      <c r="C101" t="inlineStr">
        <is>
          <t>כחול לבן</t>
        </is>
      </c>
      <c r="D101">
        <f>INDEX('סקרים לפי ערוץ'!H:H,MATCH($A101,'סקרים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וואלה</t>
        </is>
      </c>
      <c r="B102">
        <f>INDEX('סקרים לפי ערוץ'!$B:$B,MATCH($A102,'סקרים לפי ערוץ'!$A:$A,0))</f>
        <v/>
      </c>
      <c r="C102" t="inlineStr">
        <is>
          <t>חדש תע"ל</t>
        </is>
      </c>
      <c r="D102">
        <f>INDEX('סקרים לפי ערוץ'!I:I,MATCH($A102,'סקרים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וואלה</t>
        </is>
      </c>
      <c r="B103">
        <f>INDEX('סקרים לפי ערוץ'!$B:$B,MATCH($A103,'סקרים לפי ערוץ'!$A:$A,0))</f>
        <v/>
      </c>
      <c r="C103" t="inlineStr">
        <is>
          <t>ישראל ביתנו</t>
        </is>
      </c>
      <c r="D103">
        <f>INDEX('סקרים לפי ערוץ'!J:J,MATCH($A103,'סקרים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וואלה</t>
        </is>
      </c>
      <c r="B104">
        <f>INDEX('סקרים לפי ערוץ'!$B:$B,MATCH($A104,'סקרים לפי ערוץ'!$A:$A,0))</f>
        <v/>
      </c>
      <c r="C104" t="inlineStr">
        <is>
          <t>הדמוקרטים</t>
        </is>
      </c>
      <c r="D104">
        <f>INDEX('סקרים לפי ערוץ'!K:K,MATCH($A104,'סקרים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וואלה</t>
        </is>
      </c>
      <c r="B105">
        <f>INDEX('סקרים לפי ערוץ'!$B:$B,MATCH($A105,'סקרים לפי ערוץ'!$A:$A,0))</f>
        <v/>
      </c>
      <c r="C105" t="inlineStr">
        <is>
          <t>הציונות הדתית</t>
        </is>
      </c>
      <c r="D105">
        <f>INDEX('סקרים לפי ערוץ'!L:L,MATCH($A105,'סקרים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וואלה</t>
        </is>
      </c>
      <c r="B106">
        <f>INDEX('סקרים לפי ערוץ'!$B:$B,MATCH($A106,'סקרים לפי ערוץ'!$A:$A,0))</f>
        <v/>
      </c>
      <c r="C106" t="inlineStr">
        <is>
          <t>רע"מ</t>
        </is>
      </c>
      <c r="D106">
        <f>INDEX('סקרים לפי ערוץ'!M:M,MATCH($A106,'סקרים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וואלה</t>
        </is>
      </c>
      <c r="B107">
        <f>INDEX('סקרים לפי ערוץ'!$B:$B,MATCH($A107,'סקרים לפי ערוץ'!$A:$A,0))</f>
        <v/>
      </c>
      <c r="C107" t="inlineStr">
        <is>
          <t>עוצמה יהודית</t>
        </is>
      </c>
      <c r="D107">
        <f>INDEX('סקרים לפי ערוץ'!N:N,MATCH($A107,'סקרים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וואלה</t>
        </is>
      </c>
      <c r="B108">
        <f>INDEX('סקרים לפי ערוץ'!$B:$B,MATCH($A108,'סקרים לפי ערוץ'!$A:$A,0))</f>
        <v/>
      </c>
      <c r="C108" t="inlineStr">
        <is>
          <t>ביחד (בנט-לפיד)</t>
        </is>
      </c>
      <c r="D108">
        <f>INDEX('סקרים לפי ערוץ'!O:O,MATCH($A108,'סקרים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וואלה</t>
        </is>
      </c>
      <c r="B109">
        <f>INDEX('סקרים לפי ערוץ'!$B:$B,MATCH($A109,'סקרים לפי ערוץ'!$A:$A,0))</f>
        <v/>
      </c>
      <c r="C109" t="inlineStr">
        <is>
          <t>ישר!</t>
        </is>
      </c>
      <c r="D109">
        <f>INDEX('סקרים לפי ערוץ'!P:P,MATCH($A109,'סקרים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</row>
    <row r="2">
      <c r="A2" t="inlineStr">
        <is>
          <t>חדשות 13</t>
        </is>
      </c>
      <c r="B2" t="inlineStr">
        <is>
          <t>2026-08-19</t>
        </is>
      </c>
      <c r="C2" t="inlineStr">
        <is>
          <t>המדד</t>
        </is>
      </c>
      <c r="D2" t="inlineStr">
        <is>
          <t>0</t>
        </is>
      </c>
      <c r="E2" t="n">
        <v>23</v>
      </c>
      <c r="F2" t="n">
        <v>8</v>
      </c>
      <c r="G2" t="n">
        <v>7</v>
      </c>
      <c r="I2" t="n">
        <v>5</v>
      </c>
      <c r="J2" t="n">
        <v>9</v>
      </c>
      <c r="K2" t="n">
        <v>11</v>
      </c>
      <c r="L2" t="n">
        <v>5</v>
      </c>
      <c r="M2" t="n">
        <v>5</v>
      </c>
      <c r="N2" t="n">
        <v>8</v>
      </c>
      <c r="O2" t="n">
        <v>13</v>
      </c>
      <c r="P2" t="n">
        <v>26</v>
      </c>
    </row>
    <row r="3">
      <c r="A3" t="inlineStr">
        <is>
          <t>כאן חדשות</t>
        </is>
      </c>
      <c r="B3" t="inlineStr">
        <is>
          <t>2026-08-19</t>
        </is>
      </c>
      <c r="C3" t="inlineStr">
        <is>
          <t>דודי חסיד</t>
        </is>
      </c>
      <c r="D3" t="inlineStr">
        <is>
          <t>558</t>
        </is>
      </c>
      <c r="E3" t="n">
        <v>23</v>
      </c>
      <c r="F3" t="n">
        <v>8</v>
      </c>
      <c r="G3" t="n">
        <v>7</v>
      </c>
      <c r="I3" t="n">
        <v>6</v>
      </c>
      <c r="J3" t="n">
        <v>9</v>
      </c>
      <c r="K3" t="n">
        <v>10</v>
      </c>
      <c r="L3" t="n">
        <v>5</v>
      </c>
      <c r="M3" t="n">
        <v>5</v>
      </c>
      <c r="N3" t="n">
        <v>9</v>
      </c>
      <c r="O3" t="n">
        <v>14</v>
      </c>
      <c r="P3" t="n">
        <v>24</v>
      </c>
    </row>
    <row r="4">
      <c r="A4" t="inlineStr">
        <is>
          <t>ערוץ 16</t>
        </is>
      </c>
      <c r="B4" t="inlineStr">
        <is>
          <t>2026-08-19</t>
        </is>
      </c>
      <c r="C4" t="inlineStr">
        <is>
          <t>יצחק כ״ץ</t>
        </is>
      </c>
      <c r="D4" t="inlineStr">
        <is>
          <t>0</t>
        </is>
      </c>
      <c r="E4" t="n">
        <v>22</v>
      </c>
      <c r="F4" t="n">
        <v>7</v>
      </c>
      <c r="G4" t="n">
        <v>9</v>
      </c>
      <c r="I4" t="n">
        <v>5</v>
      </c>
      <c r="J4" t="n">
        <v>9</v>
      </c>
      <c r="K4" t="n">
        <v>10</v>
      </c>
      <c r="L4" t="n">
        <v>4</v>
      </c>
      <c r="M4" t="n">
        <v>4</v>
      </c>
      <c r="N4" t="n">
        <v>9</v>
      </c>
      <c r="O4" t="n">
        <v>16</v>
      </c>
      <c r="P4" t="n">
        <v>25</v>
      </c>
    </row>
    <row r="5">
      <c r="A5" t="inlineStr">
        <is>
          <t>i24 news</t>
        </is>
      </c>
      <c r="B5" t="inlineStr">
        <is>
          <t>2026-08-18</t>
        </is>
      </c>
      <c r="C5" t="inlineStr">
        <is>
          <t>דירקט פולס</t>
        </is>
      </c>
      <c r="D5" t="inlineStr">
        <is>
          <t>522</t>
        </is>
      </c>
      <c r="E5" t="n">
        <v>31</v>
      </c>
      <c r="F5" t="n">
        <v>8</v>
      </c>
      <c r="G5" t="n">
        <v>8</v>
      </c>
      <c r="I5" t="n">
        <v>5</v>
      </c>
      <c r="J5" t="n">
        <v>8</v>
      </c>
      <c r="K5" t="n">
        <v>11</v>
      </c>
      <c r="L5" t="n">
        <v>5</v>
      </c>
      <c r="M5" t="n">
        <v>5</v>
      </c>
      <c r="N5" t="n">
        <v>6</v>
      </c>
      <c r="O5" t="n">
        <v>9</v>
      </c>
      <c r="P5" t="n">
        <v>24</v>
      </c>
    </row>
    <row r="6">
      <c r="A6" t="inlineStr">
        <is>
          <t>חדשות 12</t>
        </is>
      </c>
      <c r="B6" t="inlineStr">
        <is>
          <t>2026-08-17</t>
        </is>
      </c>
      <c r="C6" t="inlineStr">
        <is>
          <t>מנו גבע</t>
        </is>
      </c>
      <c r="D6" t="inlineStr">
        <is>
          <t>501</t>
        </is>
      </c>
      <c r="E6" t="n">
        <v>22</v>
      </c>
      <c r="F6" t="n">
        <v>8</v>
      </c>
      <c r="G6" t="n">
        <v>7</v>
      </c>
      <c r="I6" t="n">
        <v>5</v>
      </c>
      <c r="J6" t="n">
        <v>10</v>
      </c>
      <c r="K6" t="n">
        <v>11</v>
      </c>
      <c r="L6" t="n">
        <v>5</v>
      </c>
      <c r="M6" t="n">
        <v>5</v>
      </c>
      <c r="N6" t="n">
        <v>8</v>
      </c>
      <c r="O6" t="n">
        <v>15</v>
      </c>
      <c r="P6" t="n">
        <v>24</v>
      </c>
    </row>
    <row r="7">
      <c r="A7" t="inlineStr">
        <is>
          <t>מעריב</t>
        </is>
      </c>
      <c r="B7" t="inlineStr">
        <is>
          <t>2026-08-14</t>
        </is>
      </c>
      <c r="C7" t="inlineStr">
        <is>
          <t>מנחם לזר</t>
        </is>
      </c>
      <c r="D7" t="inlineStr">
        <is>
          <t>506</t>
        </is>
      </c>
      <c r="E7" t="n">
        <v>21</v>
      </c>
      <c r="F7" t="n">
        <v>8</v>
      </c>
      <c r="G7" t="n">
        <v>7</v>
      </c>
      <c r="H7" t="n">
        <v>0</v>
      </c>
      <c r="I7" t="n">
        <v>6</v>
      </c>
      <c r="J7" t="n">
        <v>10</v>
      </c>
      <c r="K7" t="n">
        <v>10</v>
      </c>
      <c r="L7" t="n">
        <v>4</v>
      </c>
      <c r="M7" t="n">
        <v>5</v>
      </c>
      <c r="N7" t="n">
        <v>8</v>
      </c>
      <c r="O7" t="n">
        <v>14</v>
      </c>
      <c r="P7" t="n">
        <v>23</v>
      </c>
      <c r="Q7" t="n">
        <v>4</v>
      </c>
      <c r="R7" t="n">
        <v>0</v>
      </c>
    </row>
    <row r="8">
      <c r="A8" t="inlineStr">
        <is>
          <t>זמן ישראל</t>
        </is>
      </c>
      <c r="B8" t="inlineStr">
        <is>
          <t>2026-08-13</t>
        </is>
      </c>
      <c r="C8" t="inlineStr">
        <is>
          <t>יוסי טאטיקה</t>
        </is>
      </c>
      <c r="D8" t="inlineStr">
        <is>
          <t>500</t>
        </is>
      </c>
      <c r="E8" t="n">
        <v>21</v>
      </c>
      <c r="F8" t="n">
        <v>8</v>
      </c>
      <c r="G8" t="n">
        <v>8</v>
      </c>
      <c r="H8" t="n">
        <v>0</v>
      </c>
      <c r="I8" t="n">
        <v>6</v>
      </c>
      <c r="J8" t="n">
        <v>11</v>
      </c>
      <c r="K8" t="n">
        <v>9</v>
      </c>
      <c r="L8" t="n">
        <v>6</v>
      </c>
      <c r="M8" t="n">
        <v>6</v>
      </c>
      <c r="N8" t="n">
        <v>7</v>
      </c>
      <c r="O8" t="n">
        <v>13</v>
      </c>
      <c r="P8" t="n">
        <v>25</v>
      </c>
      <c r="Q8" t="n">
        <v>0</v>
      </c>
      <c r="R8" t="n">
        <v>0</v>
      </c>
    </row>
    <row r="9">
      <c r="A9" t="inlineStr">
        <is>
          <t>ערוץ 14</t>
        </is>
      </c>
      <c r="B9" t="inlineStr">
        <is>
          <t>2026-08-10</t>
        </is>
      </c>
      <c r="C9" t="inlineStr">
        <is>
          <t>שלמה פילבר</t>
        </is>
      </c>
      <c r="D9" t="inlineStr">
        <is>
          <t>741</t>
        </is>
      </c>
      <c r="E9" t="n">
        <v>33</v>
      </c>
      <c r="F9" t="n">
        <v>7</v>
      </c>
      <c r="G9" t="n">
        <v>10</v>
      </c>
      <c r="H9" t="n">
        <v>0</v>
      </c>
      <c r="I9" t="n">
        <v>5</v>
      </c>
      <c r="J9" t="n">
        <v>8</v>
      </c>
      <c r="K9" t="n">
        <v>10</v>
      </c>
      <c r="L9" t="n">
        <v>6</v>
      </c>
      <c r="M9" t="n">
        <v>5</v>
      </c>
      <c r="N9" t="n">
        <v>6</v>
      </c>
      <c r="O9" t="n">
        <v>7</v>
      </c>
      <c r="P9" t="n">
        <v>23</v>
      </c>
      <c r="Q9" t="n">
        <v>0</v>
      </c>
      <c r="R9" t="n">
        <v>0</v>
      </c>
    </row>
    <row r="10">
      <c r="A10" t="inlineStr">
        <is>
          <t>ישראל היום</t>
        </is>
      </c>
      <c r="B10" t="inlineStr">
        <is>
          <t>2026-08-06</t>
        </is>
      </c>
      <c r="C10" t="inlineStr">
        <is>
          <t>דודי חסיד</t>
        </is>
      </c>
      <c r="D10" t="inlineStr">
        <is>
          <t>552</t>
        </is>
      </c>
      <c r="E10" t="n">
        <v>23</v>
      </c>
      <c r="F10" t="n">
        <v>8</v>
      </c>
      <c r="G10" t="n">
        <v>7</v>
      </c>
      <c r="H10" t="n">
        <v>0</v>
      </c>
      <c r="I10" t="n">
        <v>5</v>
      </c>
      <c r="J10" t="n">
        <v>9</v>
      </c>
      <c r="K10" t="n">
        <v>10</v>
      </c>
      <c r="L10" t="n">
        <v>4</v>
      </c>
      <c r="M10" t="n">
        <v>6</v>
      </c>
      <c r="N10" t="n">
        <v>9</v>
      </c>
      <c r="O10" t="n">
        <v>13</v>
      </c>
      <c r="P10" t="n">
        <v>22</v>
      </c>
      <c r="Q10" t="n">
        <v>4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2026-08-20T13:18:28Z</dcterms:modified>
  <cp:lastModifiedBy>einat Sitbon</cp:lastModifiedBy>
  <cp:revision>0</cp:revision>
</cp:coreProperties>
</file>