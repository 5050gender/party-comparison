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9F903E19-B45D-4ABF-A275-CBC700A4181E}" xr6:coauthVersionLast="47" xr6:coauthVersionMax="47" xr10:uidLastSave="{00000000-0000-0000-0000-000000000000}"/>
  <bookViews>
    <workbookView xWindow="3705" yWindow="1380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7" l="1"/>
  <c r="H18" i="7"/>
  <c r="G18" i="7"/>
  <c r="I17" i="7"/>
  <c r="D17" i="7"/>
  <c r="C17" i="7"/>
  <c r="B17" i="7"/>
  <c r="E17" i="7" s="1"/>
  <c r="I16" i="7"/>
  <c r="I15" i="7"/>
  <c r="I14" i="7"/>
  <c r="I13" i="7"/>
  <c r="E13" i="7"/>
  <c r="D13" i="7"/>
  <c r="C13" i="7"/>
  <c r="B13" i="7"/>
  <c r="I12" i="7"/>
  <c r="D12" i="7"/>
  <c r="B12" i="7"/>
  <c r="C12" i="7" s="1"/>
  <c r="E12" i="7" s="1"/>
  <c r="I11" i="7"/>
  <c r="B11" i="7"/>
  <c r="I10" i="7"/>
  <c r="I9" i="7"/>
  <c r="I8" i="7"/>
  <c r="I7" i="7"/>
  <c r="I6" i="7"/>
  <c r="I5" i="7"/>
  <c r="I4" i="7"/>
  <c r="D4" i="7"/>
  <c r="C4" i="7"/>
  <c r="E4" i="7" s="1"/>
  <c r="B4" i="7"/>
  <c r="I3" i="7"/>
  <c r="D3" i="7"/>
  <c r="C3" i="7"/>
  <c r="E3" i="7" s="1"/>
  <c r="B3" i="7"/>
  <c r="I2" i="7"/>
  <c r="D19" i="5"/>
  <c r="C19" i="5"/>
  <c r="C18" i="5"/>
  <c r="D18" i="5" s="1"/>
  <c r="B16" i="7" s="1"/>
  <c r="D17" i="5"/>
  <c r="B15" i="7" s="1"/>
  <c r="C17" i="5"/>
  <c r="C16" i="5"/>
  <c r="D16" i="5" s="1"/>
  <c r="B14" i="7" s="1"/>
  <c r="C15" i="5"/>
  <c r="D15" i="5" s="1"/>
  <c r="C14" i="5"/>
  <c r="D14" i="5" s="1"/>
  <c r="D13" i="5"/>
  <c r="C13" i="5"/>
  <c r="D12" i="5"/>
  <c r="C12" i="5"/>
  <c r="D11" i="5"/>
  <c r="C11" i="5"/>
  <c r="C10" i="5"/>
  <c r="D10" i="5" s="1"/>
  <c r="B10" i="7" s="1"/>
  <c r="D9" i="5"/>
  <c r="B9" i="7" s="1"/>
  <c r="C9" i="7" s="1"/>
  <c r="C9" i="5"/>
  <c r="C8" i="5"/>
  <c r="D8" i="5" s="1"/>
  <c r="B8" i="7" s="1"/>
  <c r="C7" i="5"/>
  <c r="D7" i="5" s="1"/>
  <c r="B7" i="7" s="1"/>
  <c r="C6" i="5"/>
  <c r="D6" i="5" s="1"/>
  <c r="B6" i="7" s="1"/>
  <c r="D5" i="5"/>
  <c r="B5" i="7" s="1"/>
  <c r="C5" i="5"/>
  <c r="D4" i="5"/>
  <c r="C4" i="5"/>
  <c r="D3" i="5"/>
  <c r="C3" i="5"/>
  <c r="C2" i="5"/>
  <c r="D2" i="5" s="1"/>
  <c r="B2" i="7" s="1"/>
  <c r="D12" i="4"/>
  <c r="C12" i="4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D4" i="4"/>
  <c r="C4" i="4"/>
  <c r="C3" i="4"/>
  <c r="D3" i="4" s="1"/>
  <c r="C2" i="4"/>
  <c r="D2" i="4" s="1"/>
  <c r="H141" i="9"/>
  <c r="D141" i="9"/>
  <c r="I141" i="9" s="1"/>
  <c r="B141" i="9"/>
  <c r="H140" i="9"/>
  <c r="F140" i="9"/>
  <c r="D140" i="9"/>
  <c r="I140" i="9" s="1"/>
  <c r="B140" i="9"/>
  <c r="H139" i="9"/>
  <c r="I139" i="9" s="1"/>
  <c r="F139" i="9"/>
  <c r="D139" i="9"/>
  <c r="B139" i="9"/>
  <c r="H138" i="9"/>
  <c r="D138" i="9"/>
  <c r="B138" i="9"/>
  <c r="H137" i="9"/>
  <c r="D137" i="9"/>
  <c r="B137" i="9"/>
  <c r="H136" i="9"/>
  <c r="D136" i="9"/>
  <c r="I136" i="9" s="1"/>
  <c r="B136" i="9"/>
  <c r="I135" i="9"/>
  <c r="H135" i="9"/>
  <c r="D135" i="9"/>
  <c r="B135" i="9"/>
  <c r="I134" i="9"/>
  <c r="H134" i="9"/>
  <c r="F134" i="9"/>
  <c r="E134" i="9"/>
  <c r="G134" i="9" s="1"/>
  <c r="D134" i="9"/>
  <c r="B134" i="9"/>
  <c r="H133" i="9"/>
  <c r="D133" i="9"/>
  <c r="I133" i="9" s="1"/>
  <c r="B133" i="9"/>
  <c r="I132" i="9"/>
  <c r="H132" i="9"/>
  <c r="D132" i="9"/>
  <c r="F132" i="9" s="1"/>
  <c r="B132" i="9"/>
  <c r="H131" i="9"/>
  <c r="F131" i="9"/>
  <c r="E131" i="9"/>
  <c r="D131" i="9"/>
  <c r="I131" i="9" s="1"/>
  <c r="B131" i="9"/>
  <c r="H130" i="9"/>
  <c r="I130" i="9" s="1"/>
  <c r="E130" i="9"/>
  <c r="G130" i="9" s="1"/>
  <c r="D130" i="9"/>
  <c r="F130" i="9" s="1"/>
  <c r="B130" i="9"/>
  <c r="H129" i="9"/>
  <c r="D129" i="9"/>
  <c r="B129" i="9"/>
  <c r="H128" i="9"/>
  <c r="I128" i="9" s="1"/>
  <c r="F128" i="9"/>
  <c r="E128" i="9"/>
  <c r="G128" i="9" s="1"/>
  <c r="D128" i="9"/>
  <c r="B128" i="9"/>
  <c r="H127" i="9"/>
  <c r="D127" i="9"/>
  <c r="I127" i="9" s="1"/>
  <c r="B127" i="9"/>
  <c r="H126" i="9"/>
  <c r="D126" i="9"/>
  <c r="B126" i="9"/>
  <c r="H125" i="9"/>
  <c r="D125" i="9"/>
  <c r="B125" i="9"/>
  <c r="H124" i="9"/>
  <c r="F124" i="9"/>
  <c r="D124" i="9"/>
  <c r="I124" i="9" s="1"/>
  <c r="B124" i="9"/>
  <c r="I123" i="9"/>
  <c r="H123" i="9"/>
  <c r="F123" i="9"/>
  <c r="D123" i="9"/>
  <c r="B123" i="9"/>
  <c r="I122" i="9"/>
  <c r="H122" i="9"/>
  <c r="E122" i="9"/>
  <c r="D122" i="9"/>
  <c r="B122" i="9"/>
  <c r="H121" i="9"/>
  <c r="D121" i="9"/>
  <c r="B121" i="9"/>
  <c r="H120" i="9"/>
  <c r="D120" i="9"/>
  <c r="I120" i="9" s="1"/>
  <c r="B120" i="9"/>
  <c r="H119" i="9"/>
  <c r="D119" i="9"/>
  <c r="B119" i="9"/>
  <c r="I118" i="9"/>
  <c r="H118" i="9"/>
  <c r="F118" i="9"/>
  <c r="E118" i="9"/>
  <c r="G118" i="9" s="1"/>
  <c r="D118" i="9"/>
  <c r="B118" i="9"/>
  <c r="H117" i="9"/>
  <c r="G117" i="9"/>
  <c r="D117" i="9"/>
  <c r="B117" i="9"/>
  <c r="H116" i="9"/>
  <c r="D116" i="9"/>
  <c r="B116" i="9"/>
  <c r="H115" i="9"/>
  <c r="F115" i="9"/>
  <c r="E115" i="9"/>
  <c r="D115" i="9"/>
  <c r="I115" i="9" s="1"/>
  <c r="B115" i="9"/>
  <c r="H114" i="9"/>
  <c r="I114" i="9" s="1"/>
  <c r="G114" i="9"/>
  <c r="E114" i="9"/>
  <c r="D114" i="9"/>
  <c r="F114" i="9" s="1"/>
  <c r="B114" i="9"/>
  <c r="H113" i="9"/>
  <c r="D113" i="9"/>
  <c r="B113" i="9"/>
  <c r="H112" i="9"/>
  <c r="I112" i="9" s="1"/>
  <c r="F112" i="9"/>
  <c r="E112" i="9"/>
  <c r="G112" i="9" s="1"/>
  <c r="D112" i="9"/>
  <c r="B112" i="9"/>
  <c r="H111" i="9"/>
  <c r="F111" i="9"/>
  <c r="D111" i="9"/>
  <c r="I111" i="9" s="1"/>
  <c r="B111" i="9"/>
  <c r="I110" i="9"/>
  <c r="H110" i="9"/>
  <c r="D110" i="9"/>
  <c r="B110" i="9"/>
  <c r="H109" i="9"/>
  <c r="D109" i="9"/>
  <c r="B109" i="9"/>
  <c r="H108" i="9"/>
  <c r="F108" i="9"/>
  <c r="D108" i="9"/>
  <c r="I108" i="9" s="1"/>
  <c r="B108" i="9"/>
  <c r="I107" i="9"/>
  <c r="H107" i="9"/>
  <c r="F107" i="9"/>
  <c r="D107" i="9"/>
  <c r="B107" i="9"/>
  <c r="I106" i="9"/>
  <c r="H106" i="9"/>
  <c r="D106" i="9"/>
  <c r="B106" i="9"/>
  <c r="H105" i="9"/>
  <c r="D105" i="9"/>
  <c r="B105" i="9"/>
  <c r="H104" i="9"/>
  <c r="D104" i="9"/>
  <c r="I104" i="9" s="1"/>
  <c r="B104" i="9"/>
  <c r="I103" i="9"/>
  <c r="H103" i="9"/>
  <c r="D103" i="9"/>
  <c r="B103" i="9"/>
  <c r="I102" i="9"/>
  <c r="H102" i="9"/>
  <c r="F102" i="9"/>
  <c r="E102" i="9"/>
  <c r="G102" i="9" s="1"/>
  <c r="D102" i="9"/>
  <c r="B102" i="9"/>
  <c r="H101" i="9"/>
  <c r="D101" i="9"/>
  <c r="I101" i="9" s="1"/>
  <c r="B101" i="9"/>
  <c r="I100" i="9"/>
  <c r="H100" i="9"/>
  <c r="D100" i="9"/>
  <c r="B100" i="9"/>
  <c r="H99" i="9"/>
  <c r="D99" i="9"/>
  <c r="I99" i="9" s="1"/>
  <c r="B99" i="9"/>
  <c r="H98" i="9"/>
  <c r="I98" i="9" s="1"/>
  <c r="G98" i="9"/>
  <c r="E98" i="9"/>
  <c r="D98" i="9"/>
  <c r="F98" i="9" s="1"/>
  <c r="B98" i="9"/>
  <c r="H97" i="9"/>
  <c r="I97" i="9" s="1"/>
  <c r="D97" i="9"/>
  <c r="B97" i="9"/>
  <c r="H96" i="9"/>
  <c r="I96" i="9" s="1"/>
  <c r="F96" i="9"/>
  <c r="E96" i="9"/>
  <c r="G96" i="9" s="1"/>
  <c r="D96" i="9"/>
  <c r="B96" i="9"/>
  <c r="H95" i="9"/>
  <c r="F95" i="9"/>
  <c r="D95" i="9"/>
  <c r="I95" i="9" s="1"/>
  <c r="B95" i="9"/>
  <c r="H94" i="9"/>
  <c r="D94" i="9"/>
  <c r="B94" i="9"/>
  <c r="H93" i="9"/>
  <c r="E93" i="9"/>
  <c r="D93" i="9"/>
  <c r="B93" i="9"/>
  <c r="H92" i="9"/>
  <c r="F92" i="9"/>
  <c r="D92" i="9"/>
  <c r="I92" i="9" s="1"/>
  <c r="B92" i="9"/>
  <c r="H91" i="9"/>
  <c r="I91" i="9" s="1"/>
  <c r="F91" i="9"/>
  <c r="D91" i="9"/>
  <c r="B91" i="9"/>
  <c r="I90" i="9"/>
  <c r="H90" i="9"/>
  <c r="D90" i="9"/>
  <c r="B90" i="9"/>
  <c r="H89" i="9"/>
  <c r="D89" i="9"/>
  <c r="B89" i="9"/>
  <c r="H88" i="9"/>
  <c r="D88" i="9"/>
  <c r="B88" i="9"/>
  <c r="H87" i="9"/>
  <c r="D87" i="9"/>
  <c r="B87" i="9"/>
  <c r="I86" i="9"/>
  <c r="H86" i="9"/>
  <c r="F86" i="9"/>
  <c r="E86" i="9"/>
  <c r="G86" i="9" s="1"/>
  <c r="D86" i="9"/>
  <c r="B86" i="9"/>
  <c r="H85" i="9"/>
  <c r="D85" i="9"/>
  <c r="B85" i="9"/>
  <c r="I84" i="9"/>
  <c r="H84" i="9"/>
  <c r="D84" i="9"/>
  <c r="B84" i="9"/>
  <c r="H83" i="9"/>
  <c r="F83" i="9"/>
  <c r="E83" i="9"/>
  <c r="D83" i="9"/>
  <c r="I83" i="9" s="1"/>
  <c r="B83" i="9"/>
  <c r="H82" i="9"/>
  <c r="I82" i="9" s="1"/>
  <c r="E82" i="9"/>
  <c r="G82" i="9" s="1"/>
  <c r="D82" i="9"/>
  <c r="F82" i="9" s="1"/>
  <c r="B82" i="9"/>
  <c r="H81" i="9"/>
  <c r="I81" i="9" s="1"/>
  <c r="D81" i="9"/>
  <c r="B81" i="9"/>
  <c r="H80" i="9"/>
  <c r="I80" i="9" s="1"/>
  <c r="F80" i="9"/>
  <c r="E80" i="9"/>
  <c r="G80" i="9" s="1"/>
  <c r="D80" i="9"/>
  <c r="B80" i="9"/>
  <c r="H79" i="9"/>
  <c r="F79" i="9"/>
  <c r="D79" i="9"/>
  <c r="I79" i="9" s="1"/>
  <c r="B79" i="9"/>
  <c r="I78" i="9"/>
  <c r="H78" i="9"/>
  <c r="D78" i="9"/>
  <c r="B78" i="9"/>
  <c r="H77" i="9"/>
  <c r="E77" i="9"/>
  <c r="D77" i="9"/>
  <c r="B77" i="9"/>
  <c r="H76" i="9"/>
  <c r="F76" i="9"/>
  <c r="D76" i="9"/>
  <c r="I76" i="9" s="1"/>
  <c r="B76" i="9"/>
  <c r="H75" i="9"/>
  <c r="I75" i="9" s="1"/>
  <c r="F75" i="9"/>
  <c r="D75" i="9"/>
  <c r="G75" i="9" s="1"/>
  <c r="B75" i="9"/>
  <c r="H74" i="9"/>
  <c r="D74" i="9"/>
  <c r="B74" i="9"/>
  <c r="H73" i="9"/>
  <c r="F73" i="9"/>
  <c r="D73" i="9"/>
  <c r="B73" i="9"/>
  <c r="H72" i="9"/>
  <c r="I72" i="9" s="1"/>
  <c r="D72" i="9"/>
  <c r="F72" i="9" s="1"/>
  <c r="B72" i="9"/>
  <c r="H71" i="9"/>
  <c r="D71" i="9"/>
  <c r="I71" i="9" s="1"/>
  <c r="B71" i="9"/>
  <c r="I70" i="9"/>
  <c r="H70" i="9"/>
  <c r="G70" i="9"/>
  <c r="F70" i="9"/>
  <c r="E70" i="9"/>
  <c r="D70" i="9"/>
  <c r="B70" i="9"/>
  <c r="H69" i="9"/>
  <c r="D69" i="9"/>
  <c r="I69" i="9" s="1"/>
  <c r="B69" i="9"/>
  <c r="I68" i="9"/>
  <c r="H68" i="9"/>
  <c r="D68" i="9"/>
  <c r="B68" i="9"/>
  <c r="H67" i="9"/>
  <c r="F67" i="9"/>
  <c r="E67" i="9"/>
  <c r="D67" i="9"/>
  <c r="I67" i="9" s="1"/>
  <c r="B67" i="9"/>
  <c r="H66" i="9"/>
  <c r="I66" i="9" s="1"/>
  <c r="G66" i="9"/>
  <c r="E66" i="9"/>
  <c r="D66" i="9"/>
  <c r="F66" i="9" s="1"/>
  <c r="B66" i="9"/>
  <c r="H65" i="9"/>
  <c r="I65" i="9" s="1"/>
  <c r="D65" i="9"/>
  <c r="B65" i="9"/>
  <c r="H64" i="9"/>
  <c r="I64" i="9" s="1"/>
  <c r="F64" i="9"/>
  <c r="E64" i="9"/>
  <c r="G64" i="9" s="1"/>
  <c r="D64" i="9"/>
  <c r="B64" i="9"/>
  <c r="H63" i="9"/>
  <c r="F63" i="9"/>
  <c r="D63" i="9"/>
  <c r="I63" i="9" s="1"/>
  <c r="B63" i="9"/>
  <c r="H62" i="9"/>
  <c r="I62" i="9" s="1"/>
  <c r="E62" i="9"/>
  <c r="D62" i="9"/>
  <c r="B62" i="9"/>
  <c r="H61" i="9"/>
  <c r="D61" i="9"/>
  <c r="E61" i="9" s="1"/>
  <c r="B61" i="9"/>
  <c r="H60" i="9"/>
  <c r="F60" i="9"/>
  <c r="D60" i="9"/>
  <c r="I60" i="9" s="1"/>
  <c r="B60" i="9"/>
  <c r="H59" i="9"/>
  <c r="I59" i="9" s="1"/>
  <c r="F59" i="9"/>
  <c r="D59" i="9"/>
  <c r="B59" i="9"/>
  <c r="H58" i="9"/>
  <c r="E58" i="9"/>
  <c r="D58" i="9"/>
  <c r="B58" i="9"/>
  <c r="H57" i="9"/>
  <c r="D57" i="9"/>
  <c r="B57" i="9"/>
  <c r="H56" i="9"/>
  <c r="I56" i="9" s="1"/>
  <c r="D56" i="9"/>
  <c r="F56" i="9" s="1"/>
  <c r="B56" i="9"/>
  <c r="I55" i="9"/>
  <c r="H55" i="9"/>
  <c r="D55" i="9"/>
  <c r="B55" i="9"/>
  <c r="I54" i="9"/>
  <c r="H54" i="9"/>
  <c r="F54" i="9"/>
  <c r="E54" i="9"/>
  <c r="G54" i="9" s="1"/>
  <c r="D54" i="9"/>
  <c r="B54" i="9"/>
  <c r="H53" i="9"/>
  <c r="D53" i="9"/>
  <c r="B53" i="9"/>
  <c r="I52" i="9"/>
  <c r="H52" i="9"/>
  <c r="D52" i="9"/>
  <c r="B52" i="9"/>
  <c r="H51" i="9"/>
  <c r="F51" i="9"/>
  <c r="E51" i="9"/>
  <c r="D51" i="9"/>
  <c r="I51" i="9" s="1"/>
  <c r="B51" i="9"/>
  <c r="I50" i="9"/>
  <c r="H50" i="9"/>
  <c r="F50" i="9"/>
  <c r="E50" i="9"/>
  <c r="G50" i="9" s="1"/>
  <c r="D50" i="9"/>
  <c r="B50" i="9"/>
  <c r="I49" i="9"/>
  <c r="H49" i="9"/>
  <c r="D49" i="9"/>
  <c r="B49" i="9"/>
  <c r="H48" i="9"/>
  <c r="F48" i="9"/>
  <c r="E48" i="9"/>
  <c r="G48" i="9" s="1"/>
  <c r="D48" i="9"/>
  <c r="I48" i="9" s="1"/>
  <c r="B48" i="9"/>
  <c r="H47" i="9"/>
  <c r="G47" i="9"/>
  <c r="F47" i="9"/>
  <c r="D47" i="9"/>
  <c r="I47" i="9" s="1"/>
  <c r="B47" i="9"/>
  <c r="H46" i="9"/>
  <c r="I46" i="9" s="1"/>
  <c r="D46" i="9"/>
  <c r="B46" i="9"/>
  <c r="H45" i="9"/>
  <c r="D45" i="9"/>
  <c r="B45" i="9"/>
  <c r="H44" i="9"/>
  <c r="F44" i="9"/>
  <c r="D44" i="9"/>
  <c r="I44" i="9" s="1"/>
  <c r="B44" i="9"/>
  <c r="H43" i="9"/>
  <c r="D43" i="9"/>
  <c r="E43" i="9" s="1"/>
  <c r="B43" i="9"/>
  <c r="H42" i="9"/>
  <c r="D42" i="9"/>
  <c r="B42" i="9"/>
  <c r="H41" i="9"/>
  <c r="D41" i="9"/>
  <c r="B41" i="9"/>
  <c r="H40" i="9"/>
  <c r="I40" i="9" s="1"/>
  <c r="D40" i="9"/>
  <c r="F40" i="9" s="1"/>
  <c r="B40" i="9"/>
  <c r="H39" i="9"/>
  <c r="D39" i="9"/>
  <c r="B39" i="9"/>
  <c r="I38" i="9"/>
  <c r="H38" i="9"/>
  <c r="F38" i="9"/>
  <c r="E38" i="9"/>
  <c r="G38" i="9" s="1"/>
  <c r="D38" i="9"/>
  <c r="B38" i="9"/>
  <c r="H37" i="9"/>
  <c r="D37" i="9"/>
  <c r="B37" i="9"/>
  <c r="H36" i="9"/>
  <c r="D36" i="9"/>
  <c r="B36" i="9"/>
  <c r="H35" i="9"/>
  <c r="F35" i="9"/>
  <c r="E35" i="9"/>
  <c r="D35" i="9"/>
  <c r="I35" i="9" s="1"/>
  <c r="B35" i="9"/>
  <c r="H34" i="9"/>
  <c r="I34" i="9" s="1"/>
  <c r="F34" i="9"/>
  <c r="E34" i="9"/>
  <c r="G34" i="9" s="1"/>
  <c r="D34" i="9"/>
  <c r="B34" i="9"/>
  <c r="H33" i="9"/>
  <c r="D33" i="9"/>
  <c r="I33" i="9" s="1"/>
  <c r="B33" i="9"/>
  <c r="H32" i="9"/>
  <c r="E32" i="9"/>
  <c r="G32" i="9" s="1"/>
  <c r="D32" i="9"/>
  <c r="I32" i="9" s="1"/>
  <c r="B32" i="9"/>
  <c r="H31" i="9"/>
  <c r="F31" i="9"/>
  <c r="D31" i="9"/>
  <c r="I31" i="9" s="1"/>
  <c r="B31" i="9"/>
  <c r="H30" i="9"/>
  <c r="D30" i="9"/>
  <c r="E30" i="9" s="1"/>
  <c r="B30" i="9"/>
  <c r="H29" i="9"/>
  <c r="D29" i="9"/>
  <c r="B29" i="9"/>
  <c r="H28" i="9"/>
  <c r="F28" i="9"/>
  <c r="D28" i="9"/>
  <c r="I28" i="9" s="1"/>
  <c r="B28" i="9"/>
  <c r="H27" i="9"/>
  <c r="I27" i="9" s="1"/>
  <c r="F27" i="9"/>
  <c r="D27" i="9"/>
  <c r="E27" i="9" s="1"/>
  <c r="G27" i="9" s="1"/>
  <c r="B27" i="9"/>
  <c r="H26" i="9"/>
  <c r="D26" i="9"/>
  <c r="B26" i="9"/>
  <c r="H25" i="9"/>
  <c r="D25" i="9"/>
  <c r="I25" i="9" s="1"/>
  <c r="B25" i="9"/>
  <c r="H24" i="9"/>
  <c r="I24" i="9" s="1"/>
  <c r="D24" i="9"/>
  <c r="F24" i="9" s="1"/>
  <c r="B24" i="9"/>
  <c r="I23" i="9"/>
  <c r="H23" i="9"/>
  <c r="F23" i="9"/>
  <c r="D23" i="9"/>
  <c r="B23" i="9"/>
  <c r="I22" i="9"/>
  <c r="H22" i="9"/>
  <c r="F22" i="9"/>
  <c r="E22" i="9"/>
  <c r="G22" i="9" s="1"/>
  <c r="D22" i="9"/>
  <c r="B22" i="9"/>
  <c r="H21" i="9"/>
  <c r="D21" i="9"/>
  <c r="B21" i="9"/>
  <c r="I20" i="9"/>
  <c r="H20" i="9"/>
  <c r="D20" i="9"/>
  <c r="B20" i="9"/>
  <c r="H19" i="9"/>
  <c r="F19" i="9"/>
  <c r="E19" i="9"/>
  <c r="D19" i="9"/>
  <c r="I19" i="9" s="1"/>
  <c r="B19" i="9"/>
  <c r="I18" i="9"/>
  <c r="H18" i="9"/>
  <c r="F18" i="9"/>
  <c r="E18" i="9"/>
  <c r="G18" i="9" s="1"/>
  <c r="D18" i="9"/>
  <c r="B18" i="9"/>
  <c r="H17" i="9"/>
  <c r="I17" i="9" s="1"/>
  <c r="D17" i="9"/>
  <c r="B17" i="9"/>
  <c r="H16" i="9"/>
  <c r="D16" i="9"/>
  <c r="I16" i="9" s="1"/>
  <c r="B16" i="9"/>
  <c r="H15" i="9"/>
  <c r="D15" i="9"/>
  <c r="I15" i="9" s="1"/>
  <c r="B15" i="9"/>
  <c r="I14" i="9"/>
  <c r="H14" i="9"/>
  <c r="E14" i="9"/>
  <c r="D14" i="9"/>
  <c r="B14" i="9"/>
  <c r="H13" i="9"/>
  <c r="D13" i="9"/>
  <c r="I13" i="9" s="1"/>
  <c r="B13" i="9"/>
  <c r="H12" i="9"/>
  <c r="F12" i="9"/>
  <c r="D12" i="9"/>
  <c r="I12" i="9" s="1"/>
  <c r="B12" i="9"/>
  <c r="H11" i="9"/>
  <c r="I11" i="9" s="1"/>
  <c r="F11" i="9"/>
  <c r="D11" i="9"/>
  <c r="E11" i="9" s="1"/>
  <c r="G11" i="9" s="1"/>
  <c r="B11" i="9"/>
  <c r="H10" i="9"/>
  <c r="D10" i="9"/>
  <c r="I10" i="9" s="1"/>
  <c r="B10" i="9"/>
  <c r="H9" i="9"/>
  <c r="D9" i="9"/>
  <c r="F9" i="9" s="1"/>
  <c r="B9" i="9"/>
  <c r="H8" i="9"/>
  <c r="I8" i="9" s="1"/>
  <c r="D8" i="9"/>
  <c r="F8" i="9" s="1"/>
  <c r="B8" i="9"/>
  <c r="H7" i="9"/>
  <c r="D7" i="9"/>
  <c r="E7" i="9" s="1"/>
  <c r="B7" i="9"/>
  <c r="I6" i="9"/>
  <c r="H6" i="9"/>
  <c r="F6" i="9"/>
  <c r="E6" i="9"/>
  <c r="G6" i="9" s="1"/>
  <c r="D6" i="9"/>
  <c r="B6" i="9"/>
  <c r="H5" i="9"/>
  <c r="D5" i="9"/>
  <c r="G5" i="9" s="1"/>
  <c r="B5" i="9"/>
  <c r="H4" i="9"/>
  <c r="D4" i="9"/>
  <c r="B4" i="9"/>
  <c r="H3" i="9"/>
  <c r="F3" i="9"/>
  <c r="E3" i="9"/>
  <c r="D3" i="9"/>
  <c r="I3" i="9" s="1"/>
  <c r="B3" i="9"/>
  <c r="H2" i="9"/>
  <c r="I2" i="9" s="1"/>
  <c r="F2" i="9"/>
  <c r="E2" i="9"/>
  <c r="G2" i="9" s="1"/>
  <c r="D2" i="9"/>
  <c r="B2" i="9"/>
  <c r="I43" i="9" l="1"/>
  <c r="G15" i="9"/>
  <c r="F141" i="9"/>
  <c r="I113" i="9"/>
  <c r="F43" i="9"/>
  <c r="G43" i="9"/>
  <c r="E99" i="9"/>
  <c r="G99" i="9" s="1"/>
  <c r="F127" i="9"/>
  <c r="F15" i="9"/>
  <c r="F99" i="9"/>
  <c r="D6" i="7"/>
  <c r="C6" i="7"/>
  <c r="E6" i="7" s="1"/>
  <c r="D2" i="7"/>
  <c r="C2" i="7"/>
  <c r="B18" i="7"/>
  <c r="F119" i="9"/>
  <c r="F126" i="9"/>
  <c r="E126" i="9"/>
  <c r="G126" i="9" s="1"/>
  <c r="E137" i="9"/>
  <c r="G137" i="9" s="1"/>
  <c r="I137" i="9"/>
  <c r="I109" i="9"/>
  <c r="F109" i="9"/>
  <c r="F116" i="9"/>
  <c r="E116" i="9"/>
  <c r="G116" i="9" s="1"/>
  <c r="E119" i="9"/>
  <c r="G119" i="9" s="1"/>
  <c r="F137" i="9"/>
  <c r="F25" i="9"/>
  <c r="E89" i="9"/>
  <c r="I89" i="9"/>
  <c r="F7" i="9"/>
  <c r="I53" i="9"/>
  <c r="F53" i="9"/>
  <c r="E53" i="9"/>
  <c r="G53" i="9" s="1"/>
  <c r="F89" i="9"/>
  <c r="F106" i="9"/>
  <c r="E109" i="9"/>
  <c r="G109" i="9" s="1"/>
  <c r="I126" i="9"/>
  <c r="E25" i="9"/>
  <c r="F4" i="9"/>
  <c r="E4" i="9"/>
  <c r="G4" i="9" s="1"/>
  <c r="E10" i="9"/>
  <c r="E13" i="9"/>
  <c r="F16" i="9"/>
  <c r="I41" i="9"/>
  <c r="E41" i="9"/>
  <c r="G41" i="9" s="1"/>
  <c r="G89" i="9"/>
  <c r="E106" i="9"/>
  <c r="G106" i="9" s="1"/>
  <c r="F113" i="9"/>
  <c r="E113" i="9"/>
  <c r="G113" i="9" s="1"/>
  <c r="I119" i="9"/>
  <c r="G25" i="9"/>
  <c r="G103" i="9"/>
  <c r="F103" i="9"/>
  <c r="I116" i="9"/>
  <c r="I138" i="9"/>
  <c r="G138" i="9"/>
  <c r="F138" i="9"/>
  <c r="E138" i="9"/>
  <c r="C14" i="7"/>
  <c r="E14" i="7" s="1"/>
  <c r="D14" i="7"/>
  <c r="G7" i="9"/>
  <c r="G10" i="9"/>
  <c r="F10" i="9"/>
  <c r="G13" i="9"/>
  <c r="F13" i="9"/>
  <c r="E16" i="9"/>
  <c r="G16" i="9" s="1"/>
  <c r="I4" i="9"/>
  <c r="I7" i="9"/>
  <c r="F26" i="9"/>
  <c r="G29" i="9"/>
  <c r="F29" i="9"/>
  <c r="F41" i="9"/>
  <c r="G14" i="9"/>
  <c r="F14" i="9"/>
  <c r="E17" i="9"/>
  <c r="G17" i="9" s="1"/>
  <c r="F17" i="9"/>
  <c r="F20" i="9"/>
  <c r="E20" i="9"/>
  <c r="G20" i="9" s="1"/>
  <c r="E23" i="9"/>
  <c r="G23" i="9" s="1"/>
  <c r="E26" i="9"/>
  <c r="G26" i="9" s="1"/>
  <c r="E29" i="9"/>
  <c r="F32" i="9"/>
  <c r="E73" i="9"/>
  <c r="G73" i="9" s="1"/>
  <c r="I73" i="9"/>
  <c r="I93" i="9"/>
  <c r="G93" i="9"/>
  <c r="F93" i="9"/>
  <c r="F100" i="9"/>
  <c r="E100" i="9"/>
  <c r="G100" i="9" s="1"/>
  <c r="E103" i="9"/>
  <c r="G110" i="9"/>
  <c r="F110" i="9"/>
  <c r="E110" i="9"/>
  <c r="D5" i="7"/>
  <c r="C5" i="7"/>
  <c r="E5" i="7" s="1"/>
  <c r="F90" i="9"/>
  <c r="I117" i="9"/>
  <c r="E15" i="7"/>
  <c r="D15" i="7"/>
  <c r="C15" i="7"/>
  <c r="E57" i="9"/>
  <c r="G57" i="9" s="1"/>
  <c r="I57" i="9"/>
  <c r="I26" i="9"/>
  <c r="I29" i="9"/>
  <c r="F57" i="9"/>
  <c r="E90" i="9"/>
  <c r="G90" i="9" s="1"/>
  <c r="F97" i="9"/>
  <c r="E97" i="9"/>
  <c r="G97" i="9" s="1"/>
  <c r="E7" i="7"/>
  <c r="D7" i="7"/>
  <c r="C7" i="7"/>
  <c r="E16" i="7"/>
  <c r="D16" i="7"/>
  <c r="C16" i="7"/>
  <c r="G42" i="9"/>
  <c r="F42" i="9"/>
  <c r="F45" i="9"/>
  <c r="F87" i="9"/>
  <c r="E8" i="7"/>
  <c r="D8" i="7"/>
  <c r="C8" i="7"/>
  <c r="I5" i="9"/>
  <c r="F5" i="9"/>
  <c r="E5" i="9"/>
  <c r="I77" i="9"/>
  <c r="G77" i="9"/>
  <c r="F77" i="9"/>
  <c r="F84" i="9"/>
  <c r="E84" i="9"/>
  <c r="G84" i="9" s="1"/>
  <c r="E87" i="9"/>
  <c r="G87" i="9" s="1"/>
  <c r="F94" i="9"/>
  <c r="E94" i="9"/>
  <c r="G94" i="9" s="1"/>
  <c r="E121" i="9"/>
  <c r="I121" i="9"/>
  <c r="F135" i="9"/>
  <c r="E135" i="9"/>
  <c r="G135" i="9" s="1"/>
  <c r="F39" i="9"/>
  <c r="F121" i="9"/>
  <c r="E9" i="7"/>
  <c r="D9" i="7"/>
  <c r="I37" i="9"/>
  <c r="F37" i="9"/>
  <c r="E37" i="9"/>
  <c r="G37" i="9" s="1"/>
  <c r="I21" i="9"/>
  <c r="F21" i="9"/>
  <c r="E21" i="9"/>
  <c r="G21" i="9" s="1"/>
  <c r="G74" i="9"/>
  <c r="F74" i="9"/>
  <c r="E9" i="9"/>
  <c r="I42" i="9"/>
  <c r="I45" i="9"/>
  <c r="G58" i="9"/>
  <c r="F58" i="9"/>
  <c r="E74" i="9"/>
  <c r="E81" i="9"/>
  <c r="G81" i="9" s="1"/>
  <c r="F81" i="9"/>
  <c r="I87" i="9"/>
  <c r="I94" i="9"/>
  <c r="G121" i="9"/>
  <c r="D10" i="7"/>
  <c r="C10" i="7"/>
  <c r="E10" i="7" s="1"/>
  <c r="F68" i="9"/>
  <c r="E68" i="9"/>
  <c r="G68" i="9" s="1"/>
  <c r="G71" i="9"/>
  <c r="F71" i="9"/>
  <c r="G30" i="9"/>
  <c r="F30" i="9"/>
  <c r="G33" i="9"/>
  <c r="F33" i="9"/>
  <c r="E33" i="9"/>
  <c r="F36" i="9"/>
  <c r="E36" i="9"/>
  <c r="G36" i="9" s="1"/>
  <c r="E39" i="9"/>
  <c r="G39" i="9" s="1"/>
  <c r="E42" i="9"/>
  <c r="E45" i="9"/>
  <c r="G45" i="9" s="1"/>
  <c r="I9" i="9"/>
  <c r="I61" i="9"/>
  <c r="G61" i="9"/>
  <c r="F61" i="9"/>
  <c r="I30" i="9"/>
  <c r="I36" i="9"/>
  <c r="I39" i="9"/>
  <c r="G9" i="9"/>
  <c r="F46" i="9"/>
  <c r="G49" i="9"/>
  <c r="E49" i="9"/>
  <c r="F49" i="9"/>
  <c r="F52" i="9"/>
  <c r="E52" i="9"/>
  <c r="G52" i="9" s="1"/>
  <c r="E55" i="9"/>
  <c r="G55" i="9" s="1"/>
  <c r="E71" i="9"/>
  <c r="I74" i="9"/>
  <c r="F78" i="9"/>
  <c r="E78" i="9"/>
  <c r="G78" i="9" s="1"/>
  <c r="I88" i="9"/>
  <c r="E105" i="9"/>
  <c r="G105" i="9" s="1"/>
  <c r="I105" i="9"/>
  <c r="I125" i="9"/>
  <c r="F125" i="9"/>
  <c r="E125" i="9"/>
  <c r="G125" i="9" s="1"/>
  <c r="I129" i="9"/>
  <c r="G129" i="9"/>
  <c r="F129" i="9"/>
  <c r="E129" i="9"/>
  <c r="E46" i="9"/>
  <c r="G46" i="9" s="1"/>
  <c r="F55" i="9"/>
  <c r="I58" i="9"/>
  <c r="G62" i="9"/>
  <c r="F62" i="9"/>
  <c r="F65" i="9"/>
  <c r="E65" i="9"/>
  <c r="G65" i="9" s="1"/>
  <c r="I85" i="9"/>
  <c r="F105" i="9"/>
  <c r="G122" i="9"/>
  <c r="F122" i="9"/>
  <c r="E69" i="9"/>
  <c r="G69" i="9" s="1"/>
  <c r="E85" i="9"/>
  <c r="G85" i="9" s="1"/>
  <c r="E101" i="9"/>
  <c r="G101" i="9" s="1"/>
  <c r="E117" i="9"/>
  <c r="E133" i="9"/>
  <c r="G133" i="9" s="1"/>
  <c r="E12" i="9"/>
  <c r="G12" i="9" s="1"/>
  <c r="E28" i="9"/>
  <c r="G28" i="9" s="1"/>
  <c r="E44" i="9"/>
  <c r="G44" i="9" s="1"/>
  <c r="E60" i="9"/>
  <c r="G60" i="9" s="1"/>
  <c r="F69" i="9"/>
  <c r="E76" i="9"/>
  <c r="G76" i="9" s="1"/>
  <c r="F85" i="9"/>
  <c r="E92" i="9"/>
  <c r="G92" i="9" s="1"/>
  <c r="F101" i="9"/>
  <c r="E108" i="9"/>
  <c r="G108" i="9" s="1"/>
  <c r="F117" i="9"/>
  <c r="E124" i="9"/>
  <c r="G124" i="9" s="1"/>
  <c r="F133" i="9"/>
  <c r="E140" i="9"/>
  <c r="G3" i="9"/>
  <c r="G35" i="9"/>
  <c r="G67" i="9"/>
  <c r="G115" i="9"/>
  <c r="E8" i="9"/>
  <c r="G8" i="9" s="1"/>
  <c r="E40" i="9"/>
  <c r="G40" i="9" s="1"/>
  <c r="E72" i="9"/>
  <c r="G72" i="9" s="1"/>
  <c r="E104" i="9"/>
  <c r="G104" i="9" s="1"/>
  <c r="E120" i="9"/>
  <c r="G120" i="9" s="1"/>
  <c r="C11" i="7"/>
  <c r="E11" i="7" s="1"/>
  <c r="G140" i="9"/>
  <c r="G19" i="9"/>
  <c r="G51" i="9"/>
  <c r="G83" i="9"/>
  <c r="G131" i="9"/>
  <c r="E24" i="9"/>
  <c r="G24" i="9" s="1"/>
  <c r="E56" i="9"/>
  <c r="G56" i="9" s="1"/>
  <c r="E88" i="9"/>
  <c r="G88" i="9" s="1"/>
  <c r="E136" i="9"/>
  <c r="G136" i="9" s="1"/>
  <c r="E15" i="9"/>
  <c r="E31" i="9"/>
  <c r="G31" i="9" s="1"/>
  <c r="E47" i="9"/>
  <c r="E63" i="9"/>
  <c r="G63" i="9" s="1"/>
  <c r="E79" i="9"/>
  <c r="G79" i="9" s="1"/>
  <c r="F88" i="9"/>
  <c r="E95" i="9"/>
  <c r="G95" i="9" s="1"/>
  <c r="F104" i="9"/>
  <c r="E111" i="9"/>
  <c r="G111" i="9" s="1"/>
  <c r="F120" i="9"/>
  <c r="E127" i="9"/>
  <c r="G127" i="9" s="1"/>
  <c r="F136" i="9"/>
  <c r="D11" i="7"/>
  <c r="E141" i="9"/>
  <c r="E132" i="9"/>
  <c r="G132" i="9" s="1"/>
  <c r="E59" i="9"/>
  <c r="G59" i="9" s="1"/>
  <c r="E75" i="9"/>
  <c r="E91" i="9"/>
  <c r="G91" i="9" s="1"/>
  <c r="E107" i="9"/>
  <c r="G107" i="9" s="1"/>
  <c r="E123" i="9"/>
  <c r="G123" i="9" s="1"/>
  <c r="E139" i="9"/>
  <c r="G139" i="9" s="1"/>
  <c r="G141" i="9"/>
  <c r="C18" i="7" l="1"/>
  <c r="E18" i="7" s="1"/>
  <c r="D18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<sst xmlns="http://schemas.openxmlformats.org/spreadsheetml/2006/main" count="7635" uniqueCount="1845">
  <si>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</si>
  <si>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</si>
  <si>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</si>
  <si>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</si>
  <si>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</si>
  <si>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</si>
  <si>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</si>
  <si>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</si>
  <si>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</si>
  <si>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i24 news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</si>
  <si>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</si>
  <si>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</si>
  <si>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</si>
  <si>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</si>
  <si>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</si>
  <si>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</si>
  <si>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</si>
  <si>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</si>
  <si>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</si>
  <si>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</si>
  <si>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</si>
  <si>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</si>
  <si>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</si>
  <si>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</si>
  <si>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זמן ישראל</t>
  </si>
  <si>
    <t>ערוץ 16</t>
  </si>
  <si>
    <t>חדשות 13</t>
  </si>
  <si>
    <t>ערוץ 14</t>
  </si>
  <si>
    <t>חדשות 12</t>
  </si>
  <si>
    <t>מעריב</t>
  </si>
  <si>
    <t>ישראל היום</t>
  </si>
  <si>
    <t>כאן חדשות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</si>
  <si>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</si>
  <si>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</si>
  <si>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</si>
  <si>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</si>
  <si>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</si>
  <si>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</si>
  <si>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</si>
  <si>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</si>
  <si>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</si>
  <si>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</si>
  <si>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</si>
  <si>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</si>
  <si>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</si>
  <si>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</si>
  <si>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</si>
  <si>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</si>
  <si>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</si>
  <si>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</si>
  <si>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</si>
  <si>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</si>
  <si>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</si>
  <si>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</si>
  <si>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</si>
  <si>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</si>
  <si>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</si>
  <si>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</si>
  <si>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</si>
  <si>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</si>
  <si>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</si>
  <si>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</si>
  <si>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</si>
  <si>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</si>
  <si>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</si>
  <si>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</si>
  <si>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</si>
  <si>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</si>
  <si>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</si>
  <si>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</si>
  <si>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</si>
  <si>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</si>
  <si>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</si>
  <si>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</si>
  <si>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</si>
  <si>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</si>
  <si>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</si>
  <si>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</si>
  <si>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</si>
  <si>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</si>
  <si>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</si>
  <si>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</si>
  <si>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</si>
  <si>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</si>
  <si>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</si>
  <si>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</si>
  <si>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</si>
  <si>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</si>
  <si>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</si>
  <si>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</si>
  <si>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</si>
  <si>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</si>
  <si>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</si>
  <si>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</si>
  <si>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</si>
  <si>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</si>
  <si>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</si>
  <si>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</si>
  <si>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</si>
  <si>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</si>
  <si>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</si>
  <si>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</si>
  <si>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</si>
  <si>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</si>
  <si>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</si>
  <si>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</si>
  <si>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</si>
  <si>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</si>
  <si>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</si>
  <si>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</si>
  <si>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</si>
  <si>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</si>
  <si>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</si>
  <si>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</si>
  <si>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</si>
  <si>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</si>
  <si>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</si>
  <si>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</si>
  <si>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</si>
  <si>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</si>
  <si>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</si>
  <si>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</si>
  <si>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</si>
  <si>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</si>
  <si>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</si>
  <si>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</si>
  <si>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</si>
  <si>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</si>
  <si>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</si>
  <si>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</si>
  <si>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</si>
  <si>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</si>
  <si>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</si>
  <si>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</si>
  <si>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</si>
  <si>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</si>
  <si>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</si>
  <si>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</si>
  <si>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</si>
  <si>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</si>
  <si>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</si>
  <si>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</si>
  <si>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</si>
  <si>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</si>
  <si>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</si>
  <si>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</si>
  <si>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</si>
  <si>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</si>
  <si>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</si>
  <si>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</si>
  <si>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</si>
  <si>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</si>
  <si>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</si>
  <si>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</si>
  <si>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</si>
  <si>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</si>
  <si>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</si>
  <si>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</si>
  <si>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</si>
  <si>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</si>
  <si>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</si>
  <si>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</si>
  <si>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</si>
  <si>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</si>
  <si>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</si>
  <si>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</si>
  <si>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</si>
  <si>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</si>
  <si>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</si>
  <si>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</si>
  <si>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</si>
  <si>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</si>
  <si>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</si>
  <si>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</si>
  <si>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</si>
  <si>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</si>
  <si>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</si>
  <si>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</si>
  <si>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</si>
  <si>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</si>
  <si>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</si>
  <si>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</si>
  <si>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</si>
  <si>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</si>
  <si>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</si>
  <si>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</si>
  <si>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</si>
  <si>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</si>
  <si>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</si>
  <si>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</si>
  <si>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</si>
  <si>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</si>
  <si>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</si>
  <si>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</si>
  <si>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</si>
  <si>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</si>
  <si>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</si>
  <si>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</si>
  <si>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</si>
  <si>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</si>
  <si>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</si>
  <si>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</si>
  <si>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</si>
  <si>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</si>
  <si>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</si>
  <si>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</si>
  <si>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</si>
  <si>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</si>
  <si>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</si>
  <si>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</si>
  <si>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</si>
  <si>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</si>
  <si>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</si>
  <si>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</si>
  <si>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</si>
  <si>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</si>
  <si>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</si>
  <si>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</si>
  <si>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</si>
  <si>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</si>
  <si>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</si>
  <si>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</si>
  <si>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</si>
  <si>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</si>
  <si>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</si>
  <si>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</si>
  <si>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</si>
  <si>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</si>
  <si>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</si>
  <si>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</si>
  <si>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</si>
  <si>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</si>
  <si>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</si>
  <si>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</si>
  <si>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</si>
  <si>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</si>
  <si>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</si>
  <si>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</si>
  <si>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</si>
  <si>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</si>
  <si>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</si>
  <si>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</si>
  <si>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</si>
  <si>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</si>
  <si>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</si>
  <si>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</si>
  <si>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</si>
  <si>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</si>
  <si>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</si>
  <si>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</si>
  <si>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</si>
  <si>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</si>
  <si>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</si>
  <si>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</si>
  <si>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</si>
  <si>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</si>
  <si>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</si>
  <si>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</si>
  <si>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</si>
  <si>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</si>
  <si>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</si>
  <si>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</si>
  <si>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</si>
  <si>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</si>
  <si>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</si>
  <si>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</si>
  <si>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</si>
  <si>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</si>
  <si>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</si>
  <si>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</si>
  <si>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</si>
  <si>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</si>
  <si>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</si>
  <si>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</si>
  <si>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</si>
  <si>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</si>
  <si>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</si>
  <si>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</si>
  <si>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</si>
  <si>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</si>
  <si>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</si>
  <si>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</si>
  <si>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</si>
  <si>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</si>
  <si>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</si>
  <si>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</si>
  <si>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</si>
  <si>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</si>
  <si>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</si>
  <si>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</si>
  <si>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</si>
  <si>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</si>
  <si>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</si>
  <si>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</si>
  <si>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</si>
  <si>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</si>
  <si>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</si>
  <si>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</si>
  <si>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</si>
  <si>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</si>
  <si>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</si>
  <si>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</si>
  <si>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</si>
  <si>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</si>
  <si>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</si>
  <si>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</si>
  <si>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</si>
  <si>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</si>
  <si>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</si>
  <si>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</si>
  <si>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</si>
  <si>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</si>
  <si>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</si>
  <si>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</si>
  <si>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</si>
  <si>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</si>
  <si>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</si>
  <si>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</si>
  <si>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</si>
  <si>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</si>
  <si>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</si>
  <si>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</si>
  <si>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</si>
  <si>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</si>
  <si>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</si>
  <si>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</si>
  <si>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</si>
  <si>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</si>
  <si>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</si>
  <si>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</si>
  <si>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</si>
  <si>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</si>
  <si>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</si>
  <si>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</si>
  <si>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</si>
  <si>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</si>
  <si>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</si>
  <si>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</si>
  <si>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</si>
  <si>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</si>
  <si>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</si>
  <si>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</si>
  <si>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</si>
  <si>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</si>
  <si>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</si>
  <si>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</si>
  <si>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</si>
  <si>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</si>
  <si>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</si>
  <si>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</si>
  <si>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</si>
  <si>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</si>
  <si>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</si>
  <si>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</si>
  <si>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</si>
  <si>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</si>
  <si>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</si>
  <si>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</si>
  <si>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</si>
  <si>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</si>
  <si>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</si>
  <si>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</si>
  <si>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</si>
  <si>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</si>
  <si>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</si>
  <si>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</si>
  <si>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</si>
  <si>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</si>
  <si>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</si>
  <si>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</si>
  <si>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</si>
  <si>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</si>
  <si>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</si>
  <si>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</si>
  <si>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</si>
  <si>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</si>
  <si>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</si>
  <si>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</si>
  <si>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</si>
  <si>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</si>
  <si>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</si>
  <si>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</si>
  <si>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</si>
  <si>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</si>
  <si>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</si>
  <si>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</si>
  <si>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</si>
  <si>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</si>
  <si>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</si>
  <si>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</si>
  <si>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</si>
  <si>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</si>
  <si>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</si>
  <si>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</si>
  <si>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</si>
  <si>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</si>
  <si>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</si>
  <si>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</si>
  <si>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</si>
  <si>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</si>
  <si>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</si>
  <si>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</si>
  <si>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</si>
  <si>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</si>
  <si>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</si>
  <si>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</si>
  <si>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</si>
  <si>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</si>
  <si>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</si>
  <si>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</si>
  <si>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</si>
  <si>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</si>
  <si>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</si>
  <si>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</si>
  <si>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</si>
  <si>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</si>
  <si>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</si>
  <si>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</si>
  <si>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</si>
  <si>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</si>
  <si>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</si>
  <si>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</si>
  <si>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</si>
  <si>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</si>
  <si>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</si>
  <si>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</si>
  <si>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</si>
  <si>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</si>
  <si>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</si>
  <si>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</si>
  <si>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</si>
  <si>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</si>
  <si>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</si>
  <si>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</si>
  <si>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</si>
  <si>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</si>
  <si>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</si>
  <si>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</si>
  <si>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</si>
  <si>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</si>
  <si>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</si>
  <si>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</si>
  <si>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</si>
  <si>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</si>
  <si>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</si>
  <si>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</si>
  <si>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</si>
  <si>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</si>
  <si>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</si>
  <si>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</si>
  <si>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</si>
  <si>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</si>
  <si>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</si>
  <si>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</si>
  <si>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</si>
  <si>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</si>
  <si>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</si>
  <si>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</si>
  <si>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</si>
  <si>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</si>
  <si>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</si>
  <si>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</si>
  <si>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</si>
  <si>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</si>
  <si>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</si>
  <si>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</si>
  <si>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</si>
  <si>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</si>
  <si>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</si>
  <si>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</si>
  <si>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</si>
  <si>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</si>
  <si>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</si>
  <si>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</si>
  <si>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</si>
  <si>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</si>
  <si>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</si>
  <si>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</si>
  <si>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</si>
  <si>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</si>
  <si>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</si>
  <si>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</si>
  <si>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</si>
  <si>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</si>
  <si>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</si>
  <si>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</si>
  <si>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</si>
  <si>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</si>
  <si>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</si>
  <si>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</si>
  <si>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</si>
  <si>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</si>
  <si>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</si>
  <si>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</si>
  <si>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</si>
  <si>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</si>
  <si>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</si>
  <si>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</si>
  <si>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</si>
  <si>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</si>
  <si>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</si>
  <si>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</si>
  <si>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</si>
  <si>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</si>
  <si>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</si>
  <si>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</si>
  <si>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</si>
  <si>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</si>
  <si>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</si>
  <si>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</si>
  <si>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</si>
  <si>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</si>
  <si>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</si>
  <si>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</si>
  <si>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</si>
  <si>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</si>
  <si>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</si>
  <si>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</si>
  <si>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</si>
  <si>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</si>
  <si>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</si>
  <si>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</si>
  <si>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</si>
  <si>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</si>
  <si>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</si>
  <si>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</si>
  <si>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</si>
  <si>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</si>
  <si>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</si>
  <si>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</si>
  <si>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</si>
  <si>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</si>
  <si>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</si>
  <si>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</si>
  <si>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</si>
  <si>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</si>
  <si>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</si>
  <si>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</si>
  <si>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</si>
  <si>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</si>
  <si>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</si>
  <si>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</si>
  <si>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</si>
  <si>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</si>
  <si>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</si>
  <si>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</si>
  <si>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</si>
  <si>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</si>
  <si>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</si>
  <si>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</si>
  <si>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</si>
  <si>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</si>
  <si>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</si>
  <si>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</si>
  <si>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</si>
  <si>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</si>
  <si>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</si>
  <si>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</si>
  <si>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</si>
  <si>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</si>
  <si>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</si>
  <si>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</si>
  <si>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</si>
  <si>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</si>
  <si>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</si>
  <si>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</si>
  <si>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</si>
  <si>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</si>
  <si>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</si>
  <si>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</si>
  <si>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</si>
  <si>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</si>
  <si>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</si>
  <si>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</si>
  <si>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</si>
  <si>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</si>
  <si>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</si>
  <si>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</si>
  <si>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</si>
  <si>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</si>
  <si>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</si>
  <si>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</si>
  <si>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</si>
  <si>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</si>
  <si>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</si>
  <si>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</si>
  <si>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</si>
  <si>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</si>
  <si>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</si>
  <si>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</si>
  <si>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</si>
  <si>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</si>
  <si>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</si>
  <si>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</si>
  <si>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</si>
  <si>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</si>
  <si>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</si>
  <si>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</si>
  <si>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</si>
  <si>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</si>
  <si>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</si>
  <si>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</si>
  <si>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</si>
  <si>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</si>
  <si>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</si>
  <si>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</si>
  <si>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</si>
  <si>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</si>
  <si>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</si>
  <si>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</si>
  <si>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</si>
  <si>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</si>
  <si>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</si>
  <si>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</si>
  <si>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</si>
  <si>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</si>
  <si>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</si>
  <si>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</si>
  <si>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</si>
  <si>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</si>
  <si>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</si>
  <si>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</si>
  <si>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</si>
  <si>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</si>
  <si>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</si>
  <si>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</si>
  <si>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</si>
  <si>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</si>
  <si>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</si>
  <si>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</si>
  <si>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</si>
  <si>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</si>
  <si>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</si>
  <si>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</si>
  <si>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</si>
  <si>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</si>
  <si>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</si>
  <si>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</si>
  <si>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</si>
  <si>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</si>
  <si>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</si>
  <si>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</si>
  <si>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</si>
  <si>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</si>
  <si>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</si>
  <si>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</si>
  <si>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</si>
  <si>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</si>
  <si>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</si>
  <si>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</si>
  <si>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</si>
  <si>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</si>
  <si>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</si>
  <si>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</si>
  <si>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</si>
  <si>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</si>
  <si>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</si>
  <si>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</si>
  <si>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</si>
  <si>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</si>
  <si>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</si>
  <si>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</si>
  <si>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</si>
  <si>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</si>
  <si>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</si>
  <si>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</si>
  <si>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</si>
  <si>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</si>
  <si>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</si>
  <si>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</si>
  <si>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</si>
  <si>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</si>
  <si>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</si>
  <si>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</si>
  <si>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</si>
  <si>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</si>
  <si>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</si>
  <si>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</si>
  <si>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</si>
  <si>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</si>
  <si>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</si>
  <si>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</si>
  <si>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</si>
  <si>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</si>
  <si>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</si>
  <si>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</si>
  <si>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</si>
  <si>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</si>
  <si>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</si>
  <si>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</si>
  <si>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</si>
  <si>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</si>
  <si>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</si>
  <si>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</si>
  <si>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</si>
  <si>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</si>
  <si>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</si>
  <si>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</si>
  <si>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</si>
  <si>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</si>
  <si>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</si>
  <si>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</si>
  <si>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</si>
  <si>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</si>
  <si>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</si>
  <si>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</si>
  <si>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</si>
  <si>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</si>
  <si>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</si>
  <si>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</si>
  <si>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</si>
  <si>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</si>
  <si>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</si>
  <si>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</si>
  <si>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</si>
  <si>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</si>
  <si>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</si>
  <si>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</si>
  <si>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</si>
  <si>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</si>
  <si>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</si>
  <si>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</si>
  <si>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</si>
  <si>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</si>
  <si>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</si>
  <si>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</si>
  <si>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</si>
  <si>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</si>
  <si>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</si>
  <si>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</si>
  <si>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</si>
  <si>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</si>
  <si>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</si>
  <si>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</si>
  <si>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</si>
  <si>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</si>
  <si>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</si>
  <si>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</si>
  <si>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</si>
  <si>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</si>
  <si>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</si>
  <si>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</si>
  <si>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</si>
  <si>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</si>
  <si>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</si>
  <si>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</si>
  <si>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</si>
  <si>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</si>
  <si>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</si>
  <si>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</si>
  <si>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</si>
  <si>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</si>
  <si>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</si>
  <si>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</si>
  <si>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</si>
  <si>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</si>
  <si>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</si>
  <si>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</si>
  <si>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</si>
  <si>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</si>
  <si>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</si>
  <si>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</si>
  <si>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</si>
  <si>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</si>
  <si>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</si>
  <si>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</si>
  <si>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</si>
  <si>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</si>
  <si>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</si>
  <si>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</si>
  <si>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</si>
  <si>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</si>
  <si>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</si>
  <si>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</si>
  <si>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</si>
  <si>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</si>
  <si>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</si>
  <si>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</si>
  <si>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</si>
  <si>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</si>
  <si>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</si>
  <si>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</si>
  <si>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</si>
  <si>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</si>
  <si>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</si>
  <si>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</si>
  <si>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</si>
  <si>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</si>
  <si>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</si>
  <si>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</si>
  <si>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</si>
  <si>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</si>
  <si>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</si>
  <si>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</si>
  <si>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</si>
  <si>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</si>
  <si>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</si>
  <si>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</si>
  <si>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</si>
  <si>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</si>
  <si>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</si>
  <si>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</si>
  <si>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</si>
  <si>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</si>
  <si>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</si>
  <si>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</si>
  <si>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</si>
  <si>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</si>
  <si>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</si>
  <si>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</si>
  <si>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</si>
  <si>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</si>
  <si>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</si>
  <si>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</si>
  <si>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</si>
  <si>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</si>
  <si>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</si>
  <si>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</si>
  <si>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</si>
  <si>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</si>
  <si>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</si>
  <si>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</si>
  <si>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</si>
  <si>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</si>
  <si>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</si>
  <si>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</si>
  <si>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</si>
  <si>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</si>
  <si>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</si>
  <si>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</si>
  <si>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</si>
  <si>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</si>
  <si>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</si>
  <si>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</si>
  <si>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</si>
  <si>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</si>
  <si>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</si>
  <si>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</si>
  <si>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</si>
  <si>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</si>
  <si>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</si>
  <si>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</si>
  <si>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</si>
  <si>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</si>
  <si>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</si>
  <si>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</si>
  <si>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</si>
  <si>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</si>
  <si>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</si>
  <si>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</si>
  <si>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</si>
  <si>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</si>
  <si>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</si>
  <si>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</si>
  <si>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</si>
  <si>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</si>
  <si>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</si>
  <si>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</si>
  <si>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</si>
  <si>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</si>
  <si>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</si>
  <si>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</si>
  <si>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</si>
  <si>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</si>
  <si>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</si>
  <si>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</si>
  <si>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</si>
  <si>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</si>
  <si>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</si>
  <si>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</si>
  <si>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</si>
  <si>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</si>
  <si>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</si>
  <si>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</si>
  <si>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</si>
  <si>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</si>
  <si>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</si>
  <si>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</si>
  <si>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</si>
  <si>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</si>
  <si>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</si>
  <si>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</si>
  <si>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</si>
  <si>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</si>
  <si>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</si>
  <si>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</si>
  <si>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</si>
  <si>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</si>
  <si>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</si>
  <si>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</si>
  <si>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</si>
  <si>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</si>
  <si>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</si>
  <si>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</si>
  <si>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</si>
  <si>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</si>
  <si>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</si>
  <si>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</si>
  <si>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</si>
  <si>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</si>
  <si>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</si>
  <si>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</si>
  <si>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</si>
  <si>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</si>
  <si>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</si>
  <si>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</si>
  <si>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</si>
  <si>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</si>
  <si>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</si>
  <si>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</si>
  <si>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</si>
  <si>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</si>
  <si>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</si>
  <si>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</si>
  <si>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</si>
  <si>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</si>
  <si>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</si>
  <si>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</si>
  <si>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</si>
  <si>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</si>
  <si>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</si>
  <si>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</si>
  <si>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</si>
  <si>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</si>
  <si>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</si>
  <si>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</si>
  <si>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</si>
  <si>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</si>
  <si>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</si>
  <si>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</si>
  <si>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</si>
  <si>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</si>
  <si>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</si>
  <si>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</si>
  <si>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</si>
  <si>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</si>
  <si>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</si>
  <si>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</si>
  <si>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</si>
  <si>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</si>
  <si>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</si>
  <si>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</si>
  <si>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</si>
  <si>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</si>
  <si>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</si>
  <si>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</si>
  <si>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</si>
  <si>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</si>
  <si>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</si>
  <si>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</si>
  <si>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</si>
  <si>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</si>
  <si>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</si>
  <si>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</si>
  <si>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</si>
  <si>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</si>
  <si>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</si>
  <si>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</si>
  <si>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</si>
  <si>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</si>
  <si>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</si>
  <si>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</si>
  <si>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</si>
  <si>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</si>
  <si>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</si>
  <si>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</si>
  <si>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</si>
  <si>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</si>
  <si>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</si>
  <si>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</si>
  <si>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</si>
  <si>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</si>
  <si>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</si>
  <si>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</si>
  <si>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</si>
  <si>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</si>
  <si>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</si>
  <si>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</si>
  <si>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</si>
  <si>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</si>
  <si>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</si>
  <si>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</si>
  <si>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</si>
  <si>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</si>
  <si>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</si>
  <si>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</si>
  <si>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</si>
  <si>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</si>
  <si>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</si>
  <si>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</si>
  <si>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</si>
  <si>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</si>
  <si>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</si>
  <si>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</si>
  <si>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</si>
  <si>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</si>
  <si>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</si>
  <si>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</si>
  <si>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</si>
  <si>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</si>
  <si>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</si>
  <si>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</si>
  <si>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</si>
  <si>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</si>
  <si>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</si>
  <si>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</si>
  <si>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</si>
  <si>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</si>
  <si>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</si>
  <si>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</si>
  <si>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</si>
  <si>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</si>
  <si>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</si>
  <si>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</si>
  <si>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</si>
  <si>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</si>
  <si>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</si>
  <si>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</si>
  <si>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</si>
  <si>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</si>
  <si>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</si>
  <si>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</si>
  <si>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</si>
  <si>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</si>
  <si>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</si>
  <si>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</si>
  <si>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</si>
  <si>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</si>
  <si>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</si>
  <si>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</si>
  <si>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</si>
  <si>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</si>
  <si>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</si>
  <si>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</si>
  <si>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</si>
  <si>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</si>
  <si>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</si>
  <si>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</si>
  <si>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</si>
  <si>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</si>
  <si>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</si>
  <si>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</si>
  <si>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</si>
  <si>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</si>
  <si>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</si>
  <si>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</si>
  <si>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</si>
  <si>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</si>
  <si>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</si>
  <si>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</si>
  <si>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</si>
  <si>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</si>
  <si>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</si>
  <si>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</si>
  <si>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</si>
  <si>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</si>
  <si>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</si>
  <si>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</si>
  <si>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</si>
  <si>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</si>
  <si>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</si>
  <si>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</si>
  <si>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</si>
  <si>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</si>
  <si>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</si>
  <si>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</si>
  <si>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</si>
  <si>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</si>
  <si>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</si>
  <si>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</si>
  <si>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</si>
  <si>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</si>
  <si>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</si>
  <si>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</si>
  <si>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</si>
  <si>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</si>
  <si>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</si>
  <si>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</si>
  <si>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</si>
  <si>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</si>
  <si>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</si>
  <si>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</si>
  <si>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</si>
  <si>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</si>
  <si>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</si>
  <si>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</si>
  <si>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</si>
  <si>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</si>
  <si>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</si>
  <si>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</si>
  <si>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</si>
  <si>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</si>
  <si>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</si>
  <si>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</si>
  <si>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</si>
  <si>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</si>
  <si>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</si>
  <si>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</si>
  <si>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</si>
  <si>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</si>
  <si>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</si>
  <si>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</si>
  <si>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</si>
  <si>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</si>
  <si>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</si>
  <si>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</si>
  <si>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</si>
  <si>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</si>
  <si>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</si>
  <si>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</si>
  <si>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</si>
  <si>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</si>
  <si>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</si>
  <si>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</si>
  <si>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</si>
  <si>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</si>
  <si>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</si>
  <si>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</si>
  <si>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</si>
  <si>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</si>
  <si>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</si>
  <si>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</si>
  <si>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</si>
  <si>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</si>
  <si>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</si>
  <si>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</si>
  <si>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</si>
  <si>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</si>
  <si>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</si>
  <si>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</si>
  <si>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</si>
  <si>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</si>
  <si>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</si>
  <si>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</si>
  <si>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</si>
  <si>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</si>
  <si>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</si>
  <si>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</si>
  <si>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</si>
  <si>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</si>
  <si>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</si>
  <si>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</si>
  <si>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</si>
  <si>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</si>
  <si>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</si>
  <si>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</si>
  <si>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</si>
  <si>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</si>
  <si>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</si>
  <si>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</si>
  <si>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</si>
  <si>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</si>
  <si>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</si>
  <si>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</si>
  <si>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</si>
  <si>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</si>
  <si>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</si>
  <si>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</si>
  <si>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</si>
  <si>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</si>
  <si>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</si>
  <si>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</si>
  <si>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</si>
  <si>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</si>
  <si>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</si>
  <si>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</si>
  <si>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</si>
  <si>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</si>
  <si>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</si>
  <si>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</si>
  <si>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</si>
  <si>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</si>
  <si>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</si>
  <si>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</si>
  <si>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</si>
  <si>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</si>
  <si>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</si>
  <si>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</si>
  <si>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</si>
  <si>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</si>
  <si>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</si>
  <si>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</si>
  <si>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</si>
  <si>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</si>
  <si>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</si>
  <si>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</si>
  <si>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</si>
  <si>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</si>
  <si>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</si>
  <si>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</si>
  <si>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</si>
  <si>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</si>
  <si>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</si>
  <si>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</si>
  <si>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</si>
  <si>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</si>
  <si>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</si>
  <si>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</si>
  <si>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</si>
  <si>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</si>
  <si>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</si>
  <si>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</si>
  <si>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</si>
  <si>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</si>
  <si>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</si>
  <si>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</si>
  <si>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</si>
  <si>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</si>
  <si>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</si>
  <si>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</si>
  <si>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</si>
  <si>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</si>
  <si>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</si>
  <si>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</si>
  <si>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</si>
  <si>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</si>
  <si>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</si>
  <si>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</si>
  <si>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</si>
  <si>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</si>
  <si>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</si>
  <si>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</si>
  <si>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</si>
  <si>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</si>
  <si>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</si>
  <si>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</si>
  <si>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</si>
  <si>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</si>
  <si>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</si>
  <si>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</si>
  <si>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</si>
  <si>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</si>
  <si>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</si>
  <si>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</si>
  <si>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</si>
  <si>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</si>
  <si>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</si>
  <si>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</si>
  <si>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</si>
  <si>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</si>
  <si>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</si>
  <si>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</si>
  <si>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</si>
  <si>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</si>
  <si>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</si>
  <si>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</si>
  <si>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</si>
  <si>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</si>
  <si>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</si>
  <si>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</si>
  <si>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</si>
  <si>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</si>
  <si>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</si>
  <si>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</si>
  <si>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</si>
  <si>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</si>
  <si>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</si>
  <si>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</si>
  <si>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</si>
  <si>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</si>
  <si>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</si>
  <si>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</si>
  <si>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</si>
  <si>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</si>
  <si>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</si>
  <si>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</si>
  <si>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</si>
  <si>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</si>
  <si>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</si>
  <si>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</si>
  <si>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</si>
  <si>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</si>
  <si>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</si>
  <si>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</si>
  <si>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</si>
  <si>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</si>
  <si>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</si>
  <si>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</si>
  <si>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</si>
  <si>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</si>
  <si>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</si>
  <si>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</si>
  <si>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</si>
  <si>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</si>
  <si>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</si>
  <si>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</si>
  <si>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</si>
  <si>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</si>
  <si>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</si>
  <si>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</si>
  <si>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</si>
  <si>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</si>
  <si>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</si>
  <si>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</si>
  <si>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</si>
  <si>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</si>
  <si>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</si>
  <si>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</si>
  <si>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</si>
  <si>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</si>
  <si>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</si>
  <si>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</si>
  <si>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</si>
  <si>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</si>
  <si>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</si>
  <si>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</si>
  <si>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</si>
  <si>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</si>
  <si>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</si>
  <si>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</si>
  <si>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</si>
  <si>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</si>
  <si>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</si>
  <si>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</si>
  <si>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</si>
  <si>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</si>
  <si>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</si>
  <si>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</si>
  <si>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</si>
  <si>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</si>
  <si>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</si>
  <si>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</si>
  <si>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</si>
  <si>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</si>
  <si>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</si>
  <si>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</si>
  <si>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</si>
  <si>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</si>
  <si>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</si>
  <si>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</si>
  <si>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</si>
  <si>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</si>
  <si>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</si>
  <si>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</si>
  <si>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</si>
  <si>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</si>
  <si>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</si>
  <si>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</si>
  <si>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</si>
  <si>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</si>
  <si>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</si>
  <si>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</si>
  <si>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</si>
  <si>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</si>
  <si>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</si>
  <si>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</si>
  <si>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</si>
  <si>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</si>
  <si>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</si>
  <si>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</si>
  <si>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</si>
  <si>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</si>
  <si>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</si>
  <si>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</si>
  <si>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</si>
  <si>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</si>
  <si>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</si>
  <si>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</si>
  <si>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</si>
  <si>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</si>
  <si>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</si>
  <si>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</si>
  <si>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</si>
  <si>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</si>
  <si>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</si>
  <si>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</si>
  <si>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</si>
  <si>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</si>
  <si>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</si>
  <si>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</si>
  <si>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</si>
  <si>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</si>
  <si>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</si>
  <si>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</si>
  <si>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</si>
  <si>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</si>
  <si>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</si>
  <si>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</si>
  <si>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</si>
  <si>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</si>
  <si>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</si>
  <si>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</si>
  <si>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</si>
  <si>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</si>
  <si>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</si>
  <si>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</si>
  <si>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</si>
  <si>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</si>
  <si>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</si>
  <si>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</si>
  <si>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</si>
  <si>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</si>
  <si>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</si>
  <si>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</si>
  <si>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</si>
  <si>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</si>
  <si>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</si>
  <si>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</si>
  <si>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</si>
  <si>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</si>
  <si>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</si>
  <si>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</si>
  <si>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</si>
  <si>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</si>
  <si>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</si>
  <si>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</si>
  <si>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</si>
  <si>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</si>
  <si>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</si>
  <si>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</si>
  <si>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</si>
  <si>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</si>
  <si>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</si>
  <si>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</si>
  <si>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</si>
  <si>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</si>
  <si>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</si>
  <si>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</si>
  <si>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</si>
  <si>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</si>
  <si>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</si>
  <si>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</si>
  <si>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</si>
  <si>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</si>
  <si>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</si>
  <si>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</si>
  <si>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</si>
  <si>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</si>
  <si>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</si>
  <si>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</si>
  <si>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</si>
  <si>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</si>
  <si>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</si>
  <si>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</si>
  <si>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</si>
  <si>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</si>
  <si>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</si>
  <si>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</si>
  <si>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</si>
  <si>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</si>
  <si>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</si>
  <si>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</si>
  <si>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</si>
  <si>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</si>
  <si>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</si>
  <si>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</si>
  <si>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</si>
  <si>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</si>
  <si>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</si>
  <si>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</si>
  <si>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</si>
  <si>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</si>
  <si>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</si>
  <si>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</si>
  <si>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</si>
  <si>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</si>
  <si>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</si>
  <si>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</si>
  <si>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</si>
  <si>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</si>
  <si>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</si>
  <si>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</si>
  <si>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</si>
  <si>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</si>
  <si>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</si>
  <si>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</si>
  <si>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</si>
  <si>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</si>
  <si>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</si>
  <si>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</si>
  <si>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</si>
  <si>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</si>
  <si>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</si>
  <si>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</si>
  <si>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</si>
  <si>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</si>
  <si>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</si>
  <si>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</si>
  <si>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</si>
  <si>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</si>
  <si>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</si>
  <si>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</si>
  <si>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</si>
  <si>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</si>
  <si>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</si>
  <si>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</si>
  <si>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</si>
  <si>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</si>
  <si>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</si>
  <si>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</si>
  <si>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</si>
  <si>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</si>
  <si>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</si>
  <si>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</si>
  <si>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</si>
  <si>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</si>
  <si>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</si>
  <si>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</si>
  <si>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</si>
  <si>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</si>
  <si>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</si>
  <si>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</si>
  <si>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</si>
  <si>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</si>
  <si>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</si>
  <si>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</si>
  <si>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</si>
  <si>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</si>
  <si>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</si>
  <si>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</si>
  <si>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</si>
  <si>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</si>
  <si>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</si>
  <si>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</si>
  <si>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</si>
  <si>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</si>
  <si>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</si>
  <si>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</si>
  <si>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</si>
  <si>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</si>
  <si>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</si>
  <si>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</si>
  <si>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</si>
  <si>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</si>
  <si>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</si>
  <si>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</si>
  <si>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</si>
  <si>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</si>
  <si>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</si>
  <si>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</si>
  <si>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</si>
  <si>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</si>
  <si>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</si>
  <si>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</si>
  <si>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</si>
  <si>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</si>
  <si>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</si>
  <si>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</si>
  <si>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</si>
  <si>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</si>
  <si>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</si>
  <si>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</si>
  <si>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</si>
  <si>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</si>
  <si>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</si>
  <si>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</si>
  <si>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</si>
  <si>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</si>
  <si>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</si>
  <si>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</si>
  <si>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</si>
  <si>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</si>
  <si>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</si>
  <si>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</si>
  <si>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</si>
  <si>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</si>
  <si>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</si>
  <si>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</si>
  <si>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</si>
  <si>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</si>
  <si>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</si>
  <si>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</si>
  <si>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</si>
  <si>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</si>
  <si>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</si>
  <si>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</si>
  <si>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</si>
  <si>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</si>
  <si>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</si>
  <si>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</si>
  <si>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</si>
  <si>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</si>
  <si>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</si>
  <si>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</si>
  <si>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</si>
  <si>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</si>
  <si>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</si>
  <si>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</si>
  <si>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</si>
  <si>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</si>
  <si>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</si>
  <si>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</si>
  <si>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</si>
  <si>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</si>
  <si>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</si>
  <si>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</si>
  <si>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</si>
  <si>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</si>
  <si>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</si>
  <si>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</si>
  <si>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</si>
  <si>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</si>
  <si>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</si>
  <si>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</si>
  <si>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</si>
  <si>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</si>
  <si>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</si>
  <si>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</si>
  <si>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</si>
  <si>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</si>
  <si>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</si>
  <si>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</si>
  <si>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</si>
  <si>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</si>
  <si>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</si>
  <si>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</si>
  <si>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</si>
  <si>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</si>
  <si>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</si>
  <si>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</si>
  <si>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</si>
  <si>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</si>
  <si>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</si>
  <si>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</si>
  <si>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</si>
  <si>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</si>
  <si>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</si>
  <si>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</si>
  <si>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</si>
  <si>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</si>
  <si>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</si>
  <si>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</si>
  <si>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</si>
  <si>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</si>
  <si>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</si>
  <si>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</si>
  <si>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</si>
  <si>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</si>
  <si>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</si>
  <si>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</si>
  <si>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</si>
  <si>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</si>
  <si>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</si>
  <si>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</si>
  <si>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</si>
  <si>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</si>
  <si>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</si>
  <si>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</si>
  <si>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</si>
  <si>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</si>
  <si>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</si>
  <si>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</si>
  <si>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</si>
  <si>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</si>
  <si>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</si>
  <si>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</si>
  <si>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</si>
  <si>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</si>
  <si>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</si>
  <si>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</si>
  <si>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</si>
  <si>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</si>
  <si>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</si>
  <si>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</si>
  <si>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</si>
  <si>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</si>
  <si>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</si>
  <si>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</si>
  <si>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</si>
  <si>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</si>
  <si>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</si>
  <si>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</si>
  <si>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</si>
  <si>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</si>
  <si>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</si>
  <si>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</si>
  <si>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</si>
  <si>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</si>
  <si>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</si>
  <si>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</si>
  <si>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</si>
  <si>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</si>
  <si>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</si>
  <si>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</si>
  <si>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</si>
  <si>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</si>
  <si>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</si>
  <si>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</si>
  <si>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</si>
  <si>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</si>
  <si>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</si>
  <si>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</si>
  <si>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</si>
  <si>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</si>
  <si>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</si>
  <si>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</si>
  <si>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</si>
  <si>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</si>
  <si>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</si>
  <si>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</si>
  <si>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</si>
  <si>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</si>
  <si>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</si>
  <si>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</si>
  <si>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</si>
  <si>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</si>
  <si>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</si>
  <si>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</si>
  <si>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</si>
  <si>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</si>
  <si>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</si>
  <si>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</si>
  <si>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</si>
  <si>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</si>
  <si>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</si>
  <si>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</si>
  <si>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</si>
  <si>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</si>
  <si>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</si>
  <si>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</si>
  <si>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</si>
  <si>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</si>
  <si>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</si>
  <si>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</si>
  <si>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</si>
  <si>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</si>
  <si>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</si>
  <si>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</si>
  <si>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</si>
  <si>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</si>
  <si>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</si>
  <si>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</si>
  <si>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</si>
  <si>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</si>
  <si>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</si>
  <si>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</si>
  <si>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</si>
  <si>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</si>
  <si>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</si>
  <si>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</si>
  <si>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</si>
  <si>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</si>
  <si>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</si>
  <si>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</si>
  <si>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</si>
  <si>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</si>
  <si>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</si>
  <si>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</si>
  <si>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</si>
  <si>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</si>
  <si>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</si>
  <si>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</si>
  <si>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</si>
  <si>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</si>
  <si>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</si>
  <si>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</si>
  <si>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</si>
  <si>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</si>
  <si>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</si>
  <si>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</si>
  <si>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</si>
  <si>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</si>
  <si>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</si>
  <si>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</si>
  <si>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</si>
  <si>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</si>
  <si>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</si>
  <si>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</si>
  <si>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</si>
  <si>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</si>
  <si>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</si>
  <si>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</si>
  <si>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</si>
  <si>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</si>
  <si>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</si>
  <si>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</si>
  <si>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</si>
  <si>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</si>
  <si>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</si>
  <si>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</si>
  <si>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</si>
  <si>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</si>
  <si>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</si>
  <si>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</si>
  <si>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</si>
  <si>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</si>
  <si>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</si>
  <si>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</si>
  <si>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</si>
  <si>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</si>
  <si>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</si>
  <si>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</si>
  <si>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</si>
  <si>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</si>
  <si>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</si>
  <si>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</si>
  <si>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</si>
  <si>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</si>
  <si>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</si>
  <si>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</si>
  <si>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</si>
  <si>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</si>
  <si>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</si>
  <si>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</si>
  <si>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</si>
  <si>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</si>
  <si>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</si>
  <si>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</si>
  <si>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</si>
  <si>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</si>
  <si>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</si>
  <si>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</si>
  <si>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</si>
  <si>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</si>
  <si>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</si>
  <si>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</si>
  <si>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</si>
  <si>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</si>
  <si>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</si>
  <si>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</si>
  <si>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</si>
  <si>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</si>
  <si>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</si>
  <si>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</si>
  <si>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</si>
  <si>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</si>
  <si>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</si>
  <si>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</si>
  <si>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</si>
  <si>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</si>
  <si>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</si>
  <si>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</si>
  <si>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2026-09-24</t>
  </si>
  <si>
    <t>צוריאל שרון</t>
  </si>
  <si>
    <t>537</t>
  </si>
  <si>
    <t>יוסי טאטיקה</t>
  </si>
  <si>
    <t>500</t>
  </si>
  <si>
    <t>יצחק כ״ץ</t>
  </si>
  <si>
    <t>2026-09-23</t>
  </si>
  <si>
    <t>המדד</t>
  </si>
  <si>
    <t>1503</t>
  </si>
  <si>
    <t>שלמה פילבר</t>
  </si>
  <si>
    <t>647</t>
  </si>
  <si>
    <t>2026-09-22</t>
  </si>
  <si>
    <t>מנו גבע</t>
  </si>
  <si>
    <t>501</t>
  </si>
  <si>
    <t>2026-09-18</t>
  </si>
  <si>
    <t>מנחם לזר</t>
  </si>
  <si>
    <t>600</t>
  </si>
  <si>
    <t>2026-09-17</t>
  </si>
  <si>
    <t>דודי חסיד</t>
  </si>
  <si>
    <t>551</t>
  </si>
  <si>
    <t>2026-09-14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</si>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</sst>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22.2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21</v>
      </c>
      <c r="B3">
        <v>22.4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11.5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8.9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8.5</v>
      </c>
      <c r="C6">
        <f t="shared" si="0"/>
        <v>9</v>
      </c>
      <c r="D6">
        <f t="shared" si="1"/>
        <v>9</v>
      </c>
    </row>
    <row r="7" spans="1:4" ht="15" customHeight="1">
      <c r="A7" t="s">
        <v>12</v>
      </c>
      <c r="B7">
        <v>8.3000000000000007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7.1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7.8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7.5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5.4</v>
      </c>
      <c r="C11">
        <f t="shared" si="0"/>
        <v>5</v>
      </c>
      <c r="D11">
        <f t="shared" si="1"/>
        <v>5</v>
      </c>
    </row>
    <row r="12" spans="1:4" ht="15" customHeight="1">
      <c r="A12" t="s">
        <v>18</v>
      </c>
      <c r="B12">
        <v>5.4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0.7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4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2.4</v>
      </c>
      <c r="C17">
        <f t="shared" si="0"/>
        <v>2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E29" sqref="E2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8" si="0">IF(B2=0,0,C2/B2)</f>
        <v>0.13636363636363635</v>
      </c>
      <c r="F2" t="s">
        <v>1804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9</v>
      </c>
      <c r="C6">
        <f>COUNTIFS('מועמדים 2026'!$A:$A,A6,'מועמדים 2026'!$D:$D,"נ",'מועמדים 2026'!$B:$B,"&lt;="&amp;B6)</f>
        <v>3</v>
      </c>
      <c r="D6">
        <f>COUNTIFS('מועמדים 2026'!$A:$A,A6,'מועמדים 2026'!$D:$D,"ז",'מועמדים 2026'!$B:$B,"&lt;="&amp;B6)</f>
        <v>6</v>
      </c>
      <c r="E6">
        <f t="shared" si="0"/>
        <v>0.33333333333333331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5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4</v>
      </c>
      <c r="E11">
        <f t="shared" si="0"/>
        <v>0.2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1514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1819</v>
      </c>
      <c r="B18">
        <f>SUM(B2:B15)</f>
        <v>119</v>
      </c>
      <c r="C18">
        <f>SUM(C2:C15)</f>
        <v>33</v>
      </c>
      <c r="D18">
        <f>SUM(D2:D15)</f>
        <v>86</v>
      </c>
      <c r="E18">
        <f t="shared" si="0"/>
        <v>0.27731092436974791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Q9" sqref="Q9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27</v>
      </c>
      <c r="F2">
        <v>8</v>
      </c>
      <c r="G2">
        <v>7</v>
      </c>
      <c r="I2">
        <v>7</v>
      </c>
      <c r="J2">
        <v>7</v>
      </c>
      <c r="K2">
        <v>9</v>
      </c>
      <c r="L2">
        <v>6</v>
      </c>
      <c r="M2">
        <v>6</v>
      </c>
      <c r="N2">
        <v>8</v>
      </c>
      <c r="O2">
        <v>9</v>
      </c>
      <c r="P2">
        <v>22</v>
      </c>
      <c r="Q2">
        <v>4</v>
      </c>
      <c r="R2">
        <v>0</v>
      </c>
      <c r="S2">
        <v>0</v>
      </c>
    </row>
    <row r="3" spans="1:19">
      <c r="A3" t="s">
        <v>24</v>
      </c>
      <c r="B3" t="s">
        <v>1822</v>
      </c>
      <c r="C3" t="s">
        <v>1825</v>
      </c>
      <c r="D3" t="s">
        <v>1826</v>
      </c>
      <c r="E3">
        <v>21</v>
      </c>
      <c r="F3">
        <v>8</v>
      </c>
      <c r="G3">
        <v>10</v>
      </c>
      <c r="I3">
        <v>8</v>
      </c>
      <c r="J3">
        <v>10</v>
      </c>
      <c r="K3">
        <v>8</v>
      </c>
      <c r="L3">
        <v>4</v>
      </c>
      <c r="M3">
        <v>6</v>
      </c>
      <c r="N3">
        <v>6</v>
      </c>
      <c r="O3">
        <v>12</v>
      </c>
      <c r="P3">
        <v>23</v>
      </c>
      <c r="Q3">
        <v>4</v>
      </c>
      <c r="R3">
        <v>0</v>
      </c>
      <c r="S3">
        <v>0</v>
      </c>
    </row>
    <row r="4" spans="1:19">
      <c r="A4" t="s">
        <v>25</v>
      </c>
      <c r="B4" t="s">
        <v>1822</v>
      </c>
      <c r="C4" t="s">
        <v>1827</v>
      </c>
      <c r="D4" t="s">
        <v>1826</v>
      </c>
      <c r="E4">
        <v>19</v>
      </c>
      <c r="F4">
        <v>7</v>
      </c>
      <c r="G4">
        <v>8</v>
      </c>
      <c r="I4">
        <v>7</v>
      </c>
      <c r="J4">
        <v>8</v>
      </c>
      <c r="K4">
        <v>8</v>
      </c>
      <c r="L4">
        <v>5</v>
      </c>
      <c r="M4">
        <v>5</v>
      </c>
      <c r="N4">
        <v>9</v>
      </c>
      <c r="O4">
        <v>13</v>
      </c>
      <c r="P4">
        <v>23</v>
      </c>
      <c r="Q4">
        <v>4</v>
      </c>
      <c r="R4">
        <v>4</v>
      </c>
      <c r="S4">
        <v>0</v>
      </c>
    </row>
    <row r="5" spans="1:19">
      <c r="A5" t="s">
        <v>26</v>
      </c>
      <c r="B5" t="s">
        <v>1828</v>
      </c>
      <c r="C5" t="s">
        <v>1829</v>
      </c>
      <c r="D5" t="s">
        <v>1830</v>
      </c>
      <c r="E5">
        <v>18</v>
      </c>
      <c r="F5">
        <v>8</v>
      </c>
      <c r="G5">
        <v>7</v>
      </c>
      <c r="H5">
        <v>0</v>
      </c>
      <c r="I5">
        <v>8</v>
      </c>
      <c r="J5">
        <v>8</v>
      </c>
      <c r="K5">
        <v>11</v>
      </c>
      <c r="L5">
        <v>6</v>
      </c>
      <c r="M5">
        <v>5</v>
      </c>
      <c r="N5">
        <v>7</v>
      </c>
      <c r="O5">
        <v>11</v>
      </c>
      <c r="P5">
        <v>22</v>
      </c>
      <c r="Q5">
        <v>5</v>
      </c>
      <c r="R5">
        <v>4</v>
      </c>
      <c r="S5">
        <v>0</v>
      </c>
    </row>
    <row r="6" spans="1:19">
      <c r="A6" t="s">
        <v>27</v>
      </c>
      <c r="B6" t="s">
        <v>1828</v>
      </c>
      <c r="C6" t="s">
        <v>1831</v>
      </c>
      <c r="D6" t="s">
        <v>1832</v>
      </c>
      <c r="E6">
        <v>32</v>
      </c>
      <c r="F6">
        <v>7</v>
      </c>
      <c r="G6">
        <v>11</v>
      </c>
      <c r="H6">
        <v>0</v>
      </c>
      <c r="I6">
        <v>7</v>
      </c>
      <c r="J6">
        <v>7</v>
      </c>
      <c r="K6">
        <v>9</v>
      </c>
      <c r="L6">
        <v>7</v>
      </c>
      <c r="M6">
        <v>5</v>
      </c>
      <c r="N6">
        <v>6</v>
      </c>
      <c r="O6">
        <v>7</v>
      </c>
      <c r="P6">
        <v>22</v>
      </c>
      <c r="Q6">
        <v>0</v>
      </c>
      <c r="R6">
        <v>0</v>
      </c>
      <c r="S6">
        <v>0</v>
      </c>
    </row>
    <row r="7" spans="1:19">
      <c r="A7" t="s">
        <v>28</v>
      </c>
      <c r="B7" t="s">
        <v>1833</v>
      </c>
      <c r="C7" t="s">
        <v>1834</v>
      </c>
      <c r="D7" t="s">
        <v>1835</v>
      </c>
      <c r="E7">
        <v>20</v>
      </c>
      <c r="F7">
        <v>8</v>
      </c>
      <c r="G7">
        <v>7</v>
      </c>
      <c r="H7">
        <v>0</v>
      </c>
      <c r="I7">
        <v>7</v>
      </c>
      <c r="J7">
        <v>9</v>
      </c>
      <c r="K7">
        <v>9</v>
      </c>
      <c r="L7">
        <v>5</v>
      </c>
      <c r="M7">
        <v>5</v>
      </c>
      <c r="N7">
        <v>6</v>
      </c>
      <c r="O7">
        <v>13</v>
      </c>
      <c r="P7">
        <v>23</v>
      </c>
      <c r="Q7">
        <v>4</v>
      </c>
      <c r="R7">
        <v>4</v>
      </c>
      <c r="S7">
        <v>0</v>
      </c>
    </row>
    <row r="8" spans="1:19">
      <c r="A8" t="s">
        <v>29</v>
      </c>
      <c r="B8" t="s">
        <v>1836</v>
      </c>
      <c r="C8" t="s">
        <v>1837</v>
      </c>
      <c r="D8" t="s">
        <v>1838</v>
      </c>
      <c r="E8">
        <v>18</v>
      </c>
      <c r="F8">
        <v>7</v>
      </c>
      <c r="G8">
        <v>7</v>
      </c>
      <c r="H8">
        <v>0</v>
      </c>
      <c r="I8">
        <v>7</v>
      </c>
      <c r="J8">
        <v>9</v>
      </c>
      <c r="K8">
        <v>9</v>
      </c>
      <c r="L8">
        <v>6</v>
      </c>
      <c r="M8">
        <v>5</v>
      </c>
      <c r="N8">
        <v>8</v>
      </c>
      <c r="O8">
        <v>13</v>
      </c>
      <c r="P8">
        <v>23</v>
      </c>
      <c r="Q8">
        <v>4</v>
      </c>
      <c r="R8">
        <v>4</v>
      </c>
      <c r="S8">
        <v>0</v>
      </c>
    </row>
    <row r="9" spans="1:19">
      <c r="A9" t="s">
        <v>30</v>
      </c>
      <c r="B9" t="s">
        <v>1839</v>
      </c>
      <c r="C9" t="s">
        <v>1840</v>
      </c>
      <c r="D9" t="s">
        <v>1841</v>
      </c>
      <c r="E9">
        <v>20</v>
      </c>
      <c r="F9">
        <v>7</v>
      </c>
      <c r="G9">
        <v>7</v>
      </c>
      <c r="H9">
        <v>0</v>
      </c>
      <c r="I9">
        <v>7</v>
      </c>
      <c r="J9">
        <v>8</v>
      </c>
      <c r="K9">
        <v>9</v>
      </c>
      <c r="L9">
        <v>6</v>
      </c>
      <c r="M9">
        <v>5</v>
      </c>
      <c r="N9">
        <v>8</v>
      </c>
      <c r="O9">
        <v>13</v>
      </c>
      <c r="P9">
        <v>22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1842</v>
      </c>
      <c r="C10" t="s">
        <v>1840</v>
      </c>
      <c r="D10" t="s">
        <v>1841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8</v>
      </c>
      <c r="L10">
        <v>6</v>
      </c>
      <c r="M10">
        <v>5</v>
      </c>
      <c r="N10">
        <v>8</v>
      </c>
      <c r="O10">
        <v>12</v>
      </c>
      <c r="P10">
        <v>24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1843</v>
      </c>
      <c r="C11" t="s">
        <v>1837</v>
      </c>
      <c r="D11" t="s">
        <v>1844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topLeftCell="A127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2026-09-24</v>
      </c>
      <c r="C2" t="s">
        <v>10</v>
      </c>
      <c r="D2">
        <f>INDEX('סקרים לפי ערוץ'!E:E,MATCH($A2,'סקרים לפי ערוץ'!$A:$A,0))</f>
        <v>27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23</v>
      </c>
      <c r="G2">
        <f t="shared" ref="G2:G33" si="0">IF($D2=0,0,$E2/$D2)</f>
        <v>0.14814814814814814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2026-09-24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2026-09-24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2026-09-24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2026-09-24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2026-09-24</v>
      </c>
      <c r="C7" t="s">
        <v>15</v>
      </c>
      <c r="D7">
        <f>INDEX('סקרים לפי ערוץ'!J:J,MATCH($A7,'סקרים לפי ערוץ'!$A:$A,0))</f>
        <v>7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5</v>
      </c>
      <c r="G7">
        <f t="shared" si="0"/>
        <v>0.2857142857142857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2026-09-24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2026-09-24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2026-09-24</v>
      </c>
      <c r="C10" t="s">
        <v>18</v>
      </c>
      <c r="D10">
        <f>INDEX('סקרים לפי ערוץ'!M:M,MATCH($A10,'סקרים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2026-09-24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2026-09-24</v>
      </c>
      <c r="C12" t="s">
        <v>20</v>
      </c>
      <c r="D12">
        <f>INDEX('סקרים לפי ערוץ'!O:O,MATCH($A12,'סקרים לפי ערוץ'!$A:$A,0))</f>
        <v>9</v>
      </c>
      <c r="E12">
        <f>COUNTIFS('מועמדים 2026'!$A:$A,$C12,'מועמדים 2026'!$D:$D,"נ",'מועמדים 2026'!$B:$B,"&lt;="&amp;$D12)</f>
        <v>5</v>
      </c>
      <c r="F12">
        <f>COUNTIFS('מועמדים 2026'!$A:$A,$C12,'מועמדים 2026'!$D:$D,"ז",'מועמדים 2026'!$B:$B,"&lt;="&amp;$D12)</f>
        <v>4</v>
      </c>
      <c r="G12">
        <f t="shared" si="0"/>
        <v>0.55555555555555558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2026-09-24</v>
      </c>
      <c r="C13" t="s">
        <v>21</v>
      </c>
      <c r="D13">
        <f>INDEX('סקרים לפי ערוץ'!P:P,MATCH($A13,'סקרים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2026-09-24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2026-09-24</v>
      </c>
      <c r="C15" t="s">
        <v>23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2026-09-24</v>
      </c>
      <c r="C16" t="s">
        <v>10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2026-09-24</v>
      </c>
      <c r="C17" t="s">
        <v>11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2026-09-24</v>
      </c>
      <c r="C18" t="s">
        <v>12</v>
      </c>
      <c r="D18">
        <f>INDEX('סקרים לפי ערוץ'!G:G,MATCH($A18,'סקרים לפי ערוץ'!$A:$A,0))</f>
        <v>10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2026-09-24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2026-09-24</v>
      </c>
      <c r="C20" t="s">
        <v>14</v>
      </c>
      <c r="D20">
        <f>INDEX('סקרים לפי ערוץ'!I:I,MATCH($A20,'סקרים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2026-09-24</v>
      </c>
      <c r="C21" t="s">
        <v>15</v>
      </c>
      <c r="D21">
        <f>INDEX('סקרים לפי ערוץ'!J:J,MATCH($A21,'סקרים לפי ערוץ'!$A:$A,0))</f>
        <v>10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7</v>
      </c>
      <c r="G21">
        <f t="shared" si="0"/>
        <v>0.3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2026-09-24</v>
      </c>
      <c r="C22" t="s">
        <v>16</v>
      </c>
      <c r="D22">
        <f>INDEX('סקרים לפי ערוץ'!K:K,MATCH($A22,'סקרים לפי ערוץ'!$A:$A,0))</f>
        <v>8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4</v>
      </c>
      <c r="G22">
        <f t="shared" si="0"/>
        <v>0.5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2026-09-24</v>
      </c>
      <c r="C23" t="s">
        <v>17</v>
      </c>
      <c r="D23">
        <f>INDEX('סקרים לפי ערוץ'!L:L,MATCH($A23,'סקרים לפי ערוץ'!$A:$A,0))</f>
        <v>4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3</v>
      </c>
      <c r="G23">
        <f t="shared" si="0"/>
        <v>0.25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2026-09-24</v>
      </c>
      <c r="C24" t="s">
        <v>18</v>
      </c>
      <c r="D24">
        <f>INDEX('סקרים לפי ערוץ'!M:M,MATCH($A24,'סקרים לפי ערוץ'!$A:$A,0))</f>
        <v>6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5</v>
      </c>
      <c r="G24">
        <f t="shared" si="0"/>
        <v>0.16666666666666666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2026-09-24</v>
      </c>
      <c r="C25" t="s">
        <v>19</v>
      </c>
      <c r="D25">
        <f>INDEX('סקרים לפי ערוץ'!N:N,MATCH($A25,'סקרים לפי ערוץ'!$A:$A,0))</f>
        <v>6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4</v>
      </c>
      <c r="G25">
        <f t="shared" si="0"/>
        <v>0.33333333333333331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2026-09-24</v>
      </c>
      <c r="C26" t="s">
        <v>20</v>
      </c>
      <c r="D26">
        <f>INDEX('סקרים לפי ערוץ'!O:O,MATCH($A26,'סקרים לפי ערוץ'!$A:$A,0))</f>
        <v>12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6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2026-09-24</v>
      </c>
      <c r="C27" t="s">
        <v>21</v>
      </c>
      <c r="D27">
        <f>INDEX('סקרים לפי ערוץ'!P:P,MATCH($A27,'סקרים לפי ערוץ'!$A:$A,0))</f>
        <v>23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12</v>
      </c>
      <c r="G27">
        <f t="shared" si="0"/>
        <v>0.47826086956521741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2026-09-24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2026-09-24</v>
      </c>
      <c r="C29" t="s">
        <v>23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2026-09-24</v>
      </c>
      <c r="C30" t="s">
        <v>10</v>
      </c>
      <c r="D30">
        <f>INDEX('סקרים לפי ערוץ'!E:E,MATCH($A30,'סקרים לפי ערוץ'!$A:$A,0))</f>
        <v>19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17</v>
      </c>
      <c r="G30">
        <f t="shared" si="0"/>
        <v>0.10526315789473684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2026-09-24</v>
      </c>
      <c r="C31" t="s">
        <v>11</v>
      </c>
      <c r="D31">
        <f>INDEX('סקרים לפי ערוץ'!F:F,MATCH($A31,'סקרים לפי ערוץ'!$A:$A,0))</f>
        <v>7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7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2026-09-24</v>
      </c>
      <c r="C32" t="s">
        <v>12</v>
      </c>
      <c r="D32">
        <f>INDEX('סקרים לפי ערוץ'!G:G,MATCH($A32,'סקרים לפי ערוץ'!$A:$A,0))</f>
        <v>8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2026-09-24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2026-09-24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2026-09-24</v>
      </c>
      <c r="C35" t="s">
        <v>15</v>
      </c>
      <c r="D35">
        <f>INDEX('סקרים לפי ערוץ'!J:J,MATCH($A35,'סקרים לפי ערוץ'!$A:$A,0))</f>
        <v>8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6</v>
      </c>
      <c r="G35">
        <f t="shared" si="2"/>
        <v>0.25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2026-09-24</v>
      </c>
      <c r="C36" t="s">
        <v>16</v>
      </c>
      <c r="D36">
        <f>INDEX('סקרים לפי ערוץ'!K:K,MATCH($A36,'סקרים לפי ערוץ'!$A:$A,0))</f>
        <v>8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4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2026-09-24</v>
      </c>
      <c r="C37" t="s">
        <v>17</v>
      </c>
      <c r="D37">
        <f>INDEX('סקרים לפי ערוץ'!L:L,MATCH($A37,'סקרים לפי ערוץ'!$A:$A,0))</f>
        <v>5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4</v>
      </c>
      <c r="G37">
        <f t="shared" si="2"/>
        <v>0.2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2026-09-24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2026-09-24</v>
      </c>
      <c r="C39" t="s">
        <v>19</v>
      </c>
      <c r="D39">
        <f>INDEX('סקרים לפי ערוץ'!N:N,MATCH($A39,'סקרים לפי ערוץ'!$A:$A,0))</f>
        <v>9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7</v>
      </c>
      <c r="G39">
        <f t="shared" si="2"/>
        <v>0.22222222222222221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2026-09-24</v>
      </c>
      <c r="C40" t="s">
        <v>20</v>
      </c>
      <c r="D40">
        <f>INDEX('סקרים לפי ערוץ'!O:O,MATCH($A40,'סקרים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2026-09-24</v>
      </c>
      <c r="C41" t="s">
        <v>21</v>
      </c>
      <c r="D41">
        <f>INDEX('סקרים לפי ערוץ'!P:P,MATCH($A41,'סקרים לפי ערוץ'!$A:$A,0))</f>
        <v>23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12</v>
      </c>
      <c r="G41">
        <f t="shared" si="2"/>
        <v>0.47826086956521741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2026-09-24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2026-09-24</v>
      </c>
      <c r="C43" t="s">
        <v>23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2026-09-23</v>
      </c>
      <c r="C44" t="s">
        <v>10</v>
      </c>
      <c r="D44">
        <f>INDEX('סקרים לפי ערוץ'!E:E,MATCH($A44,'סקרים לפי ערוץ'!$A:$A,0))</f>
        <v>18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16</v>
      </c>
      <c r="G44">
        <f t="shared" si="2"/>
        <v>0.1111111111111111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2026-09-23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2026-09-23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2026-09-23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2026-09-23</v>
      </c>
      <c r="C48" t="s">
        <v>14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2026-09-23</v>
      </c>
      <c r="C49" t="s">
        <v>15</v>
      </c>
      <c r="D49">
        <f>INDEX('סקרים לפי ערוץ'!J:J,MATCH($A49,'סקרים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2026-09-23</v>
      </c>
      <c r="C50" t="s">
        <v>16</v>
      </c>
      <c r="D50">
        <f>INDEX('סקרים לפי ערוץ'!K:K,MATCH($A50,'סקרים לפי ערוץ'!$A:$A,0))</f>
        <v>11</v>
      </c>
      <c r="E50">
        <f>COUNTIFS('מועמדים 2026'!$A:$A,$C50,'מועמדים 2026'!$D:$D,"נ",'מועמדים 2026'!$B:$B,"&lt;="&amp;$D50)</f>
        <v>5</v>
      </c>
      <c r="F50">
        <f>COUNTIFS('מועמדים 2026'!$A:$A,$C50,'מועמדים 2026'!$D:$D,"ז",'מועמדים 2026'!$B:$B,"&lt;="&amp;$D50)</f>
        <v>6</v>
      </c>
      <c r="G50">
        <f t="shared" si="2"/>
        <v>0.45454545454545453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2026-09-23</v>
      </c>
      <c r="C51" t="s">
        <v>17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2026-09-23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2026-09-23</v>
      </c>
      <c r="C53" t="s">
        <v>19</v>
      </c>
      <c r="D53">
        <f>INDEX('סקרים לפי ערוץ'!N:N,MATCH($A53,'סקרים לפי ערוץ'!$A:$A,0))</f>
        <v>7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5</v>
      </c>
      <c r="G53">
        <f t="shared" si="2"/>
        <v>0.2857142857142857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2026-09-23</v>
      </c>
      <c r="C54" t="s">
        <v>20</v>
      </c>
      <c r="D54">
        <f>INDEX('סקרים לפי ערוץ'!O:O,MATCH($A54,'סקרים לפי ערוץ'!$A:$A,0))</f>
        <v>11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5</v>
      </c>
      <c r="G54">
        <f t="shared" si="2"/>
        <v>0.54545454545454541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2026-09-23</v>
      </c>
      <c r="C55" t="s">
        <v>21</v>
      </c>
      <c r="D55">
        <f>INDEX('סקרים לפי ערוץ'!P:P,MATCH($A55,'סקרים לפי ערוץ'!$A:$A,0))</f>
        <v>22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11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2026-09-23</v>
      </c>
      <c r="C56" t="s">
        <v>22</v>
      </c>
      <c r="D56">
        <f>INDEX('סקרים לפי ערוץ'!Q:Q,MATCH($A56,'סקרים לפי ערוץ'!$A:$A,0))</f>
        <v>5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3</v>
      </c>
      <c r="G56">
        <f t="shared" si="2"/>
        <v>0.4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2026-09-23</v>
      </c>
      <c r="C57" t="s">
        <v>23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2026-09-23</v>
      </c>
      <c r="C58" t="s">
        <v>10</v>
      </c>
      <c r="D58">
        <f>INDEX('סקרים לפי ערוץ'!E:E,MATCH($A58,'סקרים לפי ערוץ'!$A:$A,0))</f>
        <v>32</v>
      </c>
      <c r="E58">
        <f>COUNTIFS('מועמדים 2026'!$A:$A,$C58,'מועמדים 2026'!$D:$D,"נ",'מועמדים 2026'!$B:$B,"&lt;="&amp;$D58)</f>
        <v>4</v>
      </c>
      <c r="F58">
        <f>COUNTIFS('מועמדים 2026'!$A:$A,$C58,'מועמדים 2026'!$D:$D,"ז",'מועמדים 2026'!$B:$B,"&lt;="&amp;$D58)</f>
        <v>28</v>
      </c>
      <c r="G58">
        <f t="shared" si="2"/>
        <v>0.125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2026-09-23</v>
      </c>
      <c r="C59" t="s">
        <v>11</v>
      </c>
      <c r="D59">
        <f>INDEX('סקרים לפי ערוץ'!F:F,MATCH($A59,'סקרים לפי ערוץ'!$A:$A,0))</f>
        <v>7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7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2026-09-23</v>
      </c>
      <c r="C60" t="s">
        <v>12</v>
      </c>
      <c r="D60">
        <f>INDEX('סקרים לפי ערוץ'!G:G,MATCH($A60,'סקרים לפי ערוץ'!$A:$A,0))</f>
        <v>11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2026-09-23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2026-09-23</v>
      </c>
      <c r="C62" t="s">
        <v>14</v>
      </c>
      <c r="D62">
        <f>INDEX('סקרים לפי ערוץ'!I:I,MATCH($A62,'סקרים לפי ערוץ'!$A:$A,0))</f>
        <v>7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7</v>
      </c>
      <c r="G62">
        <f t="shared" si="2"/>
        <v>0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2026-09-23</v>
      </c>
      <c r="C63" t="s">
        <v>15</v>
      </c>
      <c r="D63">
        <f>INDEX('סקרים לפי ערוץ'!J:J,MATCH($A63,'סקרים לפי ערוץ'!$A:$A,0))</f>
        <v>7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5</v>
      </c>
      <c r="G63">
        <f t="shared" si="2"/>
        <v>0.2857142857142857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2026-09-23</v>
      </c>
      <c r="C64" t="s">
        <v>16</v>
      </c>
      <c r="D64">
        <f>INDEX('סקרים לפי ערוץ'!K:K,MATCH($A64,'סקרים לפי ערוץ'!$A:$A,0))</f>
        <v>9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5</v>
      </c>
      <c r="G64">
        <f t="shared" si="2"/>
        <v>0.44444444444444442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2026-09-23</v>
      </c>
      <c r="C65" t="s">
        <v>17</v>
      </c>
      <c r="D65">
        <f>INDEX('סקרים לפי ערוץ'!L:L,MATCH($A65,'סקרים לפי ערוץ'!$A:$A,0))</f>
        <v>7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6</v>
      </c>
      <c r="G65">
        <f t="shared" si="2"/>
        <v>0.14285714285714285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2026-09-23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2026-09-23</v>
      </c>
      <c r="C67" t="s">
        <v>19</v>
      </c>
      <c r="D67">
        <f>INDEX('סקרים לפי ערוץ'!N:N,MATCH($A67,'סקרים לפי ערוץ'!$A:$A,0))</f>
        <v>6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4</v>
      </c>
      <c r="G67">
        <f t="shared" si="4"/>
        <v>0.33333333333333331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2026-09-23</v>
      </c>
      <c r="C68" t="s">
        <v>20</v>
      </c>
      <c r="D68">
        <f>INDEX('סקרים לפי ערוץ'!O:O,MATCH($A68,'סקרים לפי ערוץ'!$A:$A,0))</f>
        <v>7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3</v>
      </c>
      <c r="G68">
        <f t="shared" si="4"/>
        <v>0.5714285714285714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2026-09-23</v>
      </c>
      <c r="C69" t="s">
        <v>21</v>
      </c>
      <c r="D69">
        <f>INDEX('סקרים לפי ערוץ'!P:P,MATCH($A69,'סקרים לפי ערוץ'!$A:$A,0))</f>
        <v>22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11</v>
      </c>
      <c r="G69">
        <f t="shared" si="4"/>
        <v>0.5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2026-09-23</v>
      </c>
      <c r="C70" t="s">
        <v>22</v>
      </c>
      <c r="D70">
        <f>INDEX('סקרים לפי ערוץ'!Q:Q,MATCH($A70,'סקרים לפי ערוץ'!$A:$A,0))</f>
        <v>0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0</v>
      </c>
      <c r="G70">
        <f t="shared" si="4"/>
        <v>0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2026-09-23</v>
      </c>
      <c r="C71" t="s">
        <v>23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2026-09-22</v>
      </c>
      <c r="C72" t="s">
        <v>10</v>
      </c>
      <c r="D72">
        <f>INDEX('סקרים לפי ערוץ'!E:E,MATCH($A72,'סקרים לפי ערוץ'!$A:$A,0))</f>
        <v>20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17</v>
      </c>
      <c r="G72">
        <f t="shared" si="4"/>
        <v>0.15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2026-09-22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2026-09-22</v>
      </c>
      <c r="C74" t="s">
        <v>12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2026-09-22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2026-09-22</v>
      </c>
      <c r="C76" t="s">
        <v>14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2026-09-22</v>
      </c>
      <c r="C77" t="s">
        <v>15</v>
      </c>
      <c r="D77">
        <f>INDEX('סקרים לפי ערוץ'!J:J,MATCH($A77,'סקרים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4"/>
        <v>0.33333333333333331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2026-09-22</v>
      </c>
      <c r="C78" t="s">
        <v>16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2026-09-22</v>
      </c>
      <c r="C79" t="s">
        <v>17</v>
      </c>
      <c r="D79">
        <f>INDEX('סקרים לפי ערוץ'!L:L,MATCH($A79,'סקרים לפי ערוץ'!$A:$A,0))</f>
        <v>5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4</v>
      </c>
      <c r="G79">
        <f t="shared" si="4"/>
        <v>0.2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2026-09-22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2026-09-22</v>
      </c>
      <c r="C81" t="s">
        <v>19</v>
      </c>
      <c r="D81">
        <f>INDEX('סקרים לפי ערוץ'!N:N,MATCH($A81,'סקרים לפי ערוץ'!$A:$A,0))</f>
        <v>6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4</v>
      </c>
      <c r="G81">
        <f t="shared" si="4"/>
        <v>0.33333333333333331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2026-09-22</v>
      </c>
      <c r="C82" t="s">
        <v>20</v>
      </c>
      <c r="D82">
        <f>INDEX('סקרים לפי ערוץ'!O:O,MATCH($A82,'סקרים לפי ערוץ'!$A:$A,0))</f>
        <v>13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7</v>
      </c>
      <c r="G82">
        <f t="shared" si="4"/>
        <v>0.46153846153846156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2026-09-22</v>
      </c>
      <c r="C83" t="s">
        <v>21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2026-09-22</v>
      </c>
      <c r="C84" t="s">
        <v>22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2026-09-22</v>
      </c>
      <c r="C85" t="s">
        <v>23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2026-09-18</v>
      </c>
      <c r="C86" t="s">
        <v>10</v>
      </c>
      <c r="D86">
        <f>INDEX('סקרים לפי ערוץ'!E:E,MATCH($A86,'סקרים לפי ערוץ'!$A:$A,0))</f>
        <v>18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16</v>
      </c>
      <c r="G86">
        <f t="shared" si="4"/>
        <v>0.1111111111111111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2026-09-18</v>
      </c>
      <c r="C87" t="s">
        <v>11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2026-09-18</v>
      </c>
      <c r="C88" t="s">
        <v>12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2026-09-18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2026-09-18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2026-09-18</v>
      </c>
      <c r="C91" t="s">
        <v>15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4"/>
        <v>0.33333333333333331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2026-09-18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2026-09-18</v>
      </c>
      <c r="C93" t="s">
        <v>17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2026-09-18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2026-09-18</v>
      </c>
      <c r="C95" t="s">
        <v>19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4"/>
        <v>0.25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2026-09-18</v>
      </c>
      <c r="C96" t="s">
        <v>20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2026-09-18</v>
      </c>
      <c r="C97" t="s">
        <v>21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2026-09-18</v>
      </c>
      <c r="C98" t="s">
        <v>22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2026-09-18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2026-09-17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2026-09-17</v>
      </c>
      <c r="C101" t="s">
        <v>11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2026-09-17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2026-09-17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2026-09-17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2026-09-17</v>
      </c>
      <c r="C105" t="s">
        <v>15</v>
      </c>
      <c r="D105">
        <f>INDEX('סקרים לפי ערוץ'!J:J,MATCH($A105,'סקרים לפי ערוץ'!$A:$A,0))</f>
        <v>8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6</v>
      </c>
      <c r="G105">
        <f t="shared" si="6"/>
        <v>0.25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2026-09-17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2026-09-17</v>
      </c>
      <c r="C107" t="s">
        <v>17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6"/>
        <v>0.16666666666666666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2026-09-17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2026-09-17</v>
      </c>
      <c r="C109" t="s">
        <v>19</v>
      </c>
      <c r="D109">
        <f>INDEX('סקרים לפי ערוץ'!N:N,MATCH($A109,'סקרים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6"/>
        <v>0.25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2026-09-17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2026-09-17</v>
      </c>
      <c r="C111" t="s">
        <v>21</v>
      </c>
      <c r="D111">
        <f>INDEX('סקרים לפי ערוץ'!P:P,MATCH($A111,'סקרים לפי ערוץ'!$A:$A,0))</f>
        <v>22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11</v>
      </c>
      <c r="G111">
        <f t="shared" si="6"/>
        <v>0.5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2026-09-17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2026-09-17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2026-09-14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2026-09-14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2026-09-14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2026-09-14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2026-09-14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2026-09-14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2026-09-14</v>
      </c>
      <c r="C120" t="s">
        <v>16</v>
      </c>
      <c r="D120">
        <f>INDEX('סקרים לפי ערוץ'!K:K,MATCH($A120,'סקרים לפי ערוץ'!$A:$A,0))</f>
        <v>8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4</v>
      </c>
      <c r="G120">
        <f t="shared" si="6"/>
        <v>0.5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2026-09-14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2026-09-14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2026-09-14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2026-09-14</v>
      </c>
      <c r="C124" t="s">
        <v>20</v>
      </c>
      <c r="D124">
        <f>INDEX('סקרים לפי ערוץ'!O:O,MATCH($A124,'סקרים לפי ערוץ'!$A:$A,0))</f>
        <v>12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6</v>
      </c>
      <c r="G124">
        <f t="shared" si="6"/>
        <v>0.5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2026-09-14</v>
      </c>
      <c r="C125" t="s">
        <v>21</v>
      </c>
      <c r="D125">
        <f>INDEX('סקרים לפי ערוץ'!P:P,MATCH($A125,'סקרים לפי ערוץ'!$A:$A,0))</f>
        <v>24</v>
      </c>
      <c r="E125">
        <f>COUNTIFS('מועמדים 2026'!$A:$A,$C125,'מועמדים 2026'!$D:$D,"נ",'מועמדים 2026'!$B:$B,"&lt;="&amp;$D125)</f>
        <v>12</v>
      </c>
      <c r="F125">
        <f>COUNTIFS('מועמדים 2026'!$A:$A,$C125,'מועמדים 2026'!$D:$D,"ז",'מועמדים 2026'!$B:$B,"&lt;="&amp;$D125)</f>
        <v>12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2026-09-14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2026-09-14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2026-09-25T05:54:00Z</dcterms:modified>
  <dc:language>en-US</dc:language>
</cp:coreProperties>
</file>