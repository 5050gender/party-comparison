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inat\git_5050\party-comparison\party-comparison\"/>
    </mc:Choice>
  </mc:AlternateContent>
  <xr:revisionPtr revIDLastSave="0" documentId="13_ncr:1_{F02E1B88-050D-4697-B16E-50DB6BBE7ED0}" xr6:coauthVersionLast="47" xr6:coauthVersionMax="47" xr10:uidLastSave="{00000000-0000-0000-0000-000000000000}"/>
  <bookViews>
    <workbookView xWindow="-25125" yWindow="1485" windowWidth="21510" windowHeight="11295" tabRatio="500" firstSheet="5" activeTab="8" xr2:uid="{00000000-000D-0000-FFFF-FFFF00000000}"/>
  </bookViews>
  <sheets>
    <sheet name="כל הרשימות" sheetId="1" r:id="rId1"/>
    <sheet name="מסונן" sheetId="2" r:id="rId2"/>
    <sheet name="Sheet1" sheetId="3" r:id="rId3"/>
    <sheet name="חישוב" sheetId="4" r:id="rId4"/>
    <sheet name="סקר 2026" sheetId="5" r:id="rId5"/>
    <sheet name="מועמדים 2026" sheetId="6" r:id="rId6"/>
    <sheet name="חישוב 2026" sheetId="7" r:id="rId7"/>
    <sheet name="סקרים לפי ערוץ" sheetId="8" r:id="rId8"/>
    <sheet name="חישוב לפי ערוץ" sheetId="9" r:id="rId9"/>
  </sheets>
  <definedNames>
    <definedName name="_xlnm._FilterDatabase" localSheetId="0" hidden="1">'כל הרשימות'!$A$1:$C$1413</definedName>
    <definedName name="_xlnm._FilterDatabase" localSheetId="5" hidden="1">'מועמדים 2026'!$A$1:$E$258</definedName>
    <definedName name="_xlnm._FilterDatabase" localSheetId="1" hidden="1">מסונן!$A$1:$D$1048314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9" l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2" i="9"/>
  <c r="I17" i="7" l="1"/>
  <c r="H17" i="7"/>
  <c r="G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2" i="7"/>
  <c r="C19" i="5"/>
  <c r="D19" i="5" s="1"/>
  <c r="D18" i="5"/>
  <c r="B16" i="7" s="1"/>
  <c r="C18" i="5"/>
  <c r="C17" i="5"/>
  <c r="D17" i="5" s="1"/>
  <c r="B15" i="7" s="1"/>
  <c r="C16" i="5"/>
  <c r="D16" i="5" s="1"/>
  <c r="B14" i="7" s="1"/>
  <c r="D15" i="5"/>
  <c r="C15" i="5"/>
  <c r="C14" i="5"/>
  <c r="D14" i="5" s="1"/>
  <c r="C13" i="5"/>
  <c r="D13" i="5" s="1"/>
  <c r="B13" i="7" s="1"/>
  <c r="D12" i="5"/>
  <c r="B12" i="7" s="1"/>
  <c r="C12" i="5"/>
  <c r="C11" i="5"/>
  <c r="D11" i="5" s="1"/>
  <c r="B11" i="7" s="1"/>
  <c r="D10" i="5"/>
  <c r="B10" i="7" s="1"/>
  <c r="C10" i="5"/>
  <c r="C9" i="5"/>
  <c r="D9" i="5" s="1"/>
  <c r="B9" i="7" s="1"/>
  <c r="C8" i="5"/>
  <c r="D8" i="5" s="1"/>
  <c r="B8" i="7" s="1"/>
  <c r="D7" i="5"/>
  <c r="B7" i="7" s="1"/>
  <c r="C7" i="5"/>
  <c r="C6" i="5"/>
  <c r="D6" i="5" s="1"/>
  <c r="B6" i="7" s="1"/>
  <c r="C5" i="5"/>
  <c r="D5" i="5" s="1"/>
  <c r="B5" i="7" s="1"/>
  <c r="D4" i="5"/>
  <c r="B4" i="7" s="1"/>
  <c r="C4" i="5"/>
  <c r="C3" i="5"/>
  <c r="D3" i="5" s="1"/>
  <c r="B3" i="7" s="1"/>
  <c r="D2" i="5"/>
  <c r="B2" i="7" s="1"/>
  <c r="C2" i="5"/>
  <c r="C12" i="4"/>
  <c r="D12" i="4" s="1"/>
  <c r="C11" i="4"/>
  <c r="D11" i="4" s="1"/>
  <c r="C10" i="4"/>
  <c r="D10" i="4" s="1"/>
  <c r="C9" i="4"/>
  <c r="D9" i="4" s="1"/>
  <c r="C8" i="4"/>
  <c r="D8" i="4" s="1"/>
  <c r="C7" i="4"/>
  <c r="D7" i="4" s="1"/>
  <c r="C6" i="4"/>
  <c r="D6" i="4" s="1"/>
  <c r="C5" i="4"/>
  <c r="D5" i="4" s="1"/>
  <c r="C4" i="4"/>
  <c r="D4" i="4" s="1"/>
  <c r="C3" i="4"/>
  <c r="D3" i="4" s="1"/>
  <c r="C2" i="4"/>
  <c r="D2" i="4" s="1"/>
  <c r="H141" i="9"/>
  <c r="F141" i="9"/>
  <c r="D141" i="9"/>
  <c r="E141" i="9" s="1"/>
  <c r="B141" i="9"/>
  <c r="H140" i="9"/>
  <c r="G140" i="9"/>
  <c r="E140" i="9"/>
  <c r="D140" i="9"/>
  <c r="F140" i="9" s="1"/>
  <c r="B140" i="9"/>
  <c r="H139" i="9"/>
  <c r="D139" i="9"/>
  <c r="B139" i="9"/>
  <c r="H138" i="9"/>
  <c r="F138" i="9"/>
  <c r="E138" i="9"/>
  <c r="G138" i="9" s="1"/>
  <c r="D138" i="9"/>
  <c r="B138" i="9"/>
  <c r="H137" i="9"/>
  <c r="D137" i="9"/>
  <c r="B137" i="9"/>
  <c r="H136" i="9"/>
  <c r="D136" i="9"/>
  <c r="B136" i="9"/>
  <c r="H135" i="9"/>
  <c r="F135" i="9"/>
  <c r="D135" i="9"/>
  <c r="B135" i="9"/>
  <c r="H134" i="9"/>
  <c r="G134" i="9"/>
  <c r="F134" i="9"/>
  <c r="E134" i="9"/>
  <c r="D134" i="9"/>
  <c r="B134" i="9"/>
  <c r="H133" i="9"/>
  <c r="D133" i="9"/>
  <c r="B133" i="9"/>
  <c r="H132" i="9"/>
  <c r="E132" i="9"/>
  <c r="D132" i="9"/>
  <c r="B132" i="9"/>
  <c r="H131" i="9"/>
  <c r="F131" i="9"/>
  <c r="D131" i="9"/>
  <c r="B131" i="9"/>
  <c r="H130" i="9"/>
  <c r="F130" i="9"/>
  <c r="E130" i="9"/>
  <c r="G130" i="9" s="1"/>
  <c r="D130" i="9"/>
  <c r="B130" i="9"/>
  <c r="H129" i="9"/>
  <c r="D129" i="9"/>
  <c r="B129" i="9"/>
  <c r="H128" i="9"/>
  <c r="D128" i="9"/>
  <c r="F128" i="9" s="1"/>
  <c r="B128" i="9"/>
  <c r="H127" i="9"/>
  <c r="F127" i="9"/>
  <c r="D127" i="9"/>
  <c r="E127" i="9" s="1"/>
  <c r="G127" i="9" s="1"/>
  <c r="B127" i="9"/>
  <c r="H126" i="9"/>
  <c r="G126" i="9"/>
  <c r="F126" i="9"/>
  <c r="E126" i="9"/>
  <c r="D126" i="9"/>
  <c r="B126" i="9"/>
  <c r="H125" i="9"/>
  <c r="D125" i="9"/>
  <c r="E125" i="9" s="1"/>
  <c r="B125" i="9"/>
  <c r="H124" i="9"/>
  <c r="D124" i="9"/>
  <c r="B124" i="9"/>
  <c r="H123" i="9"/>
  <c r="D123" i="9"/>
  <c r="B123" i="9"/>
  <c r="H122" i="9"/>
  <c r="F122" i="9"/>
  <c r="E122" i="9"/>
  <c r="G122" i="9" s="1"/>
  <c r="D122" i="9"/>
  <c r="B122" i="9"/>
  <c r="H121" i="9"/>
  <c r="D121" i="9"/>
  <c r="B121" i="9"/>
  <c r="H120" i="9"/>
  <c r="D120" i="9"/>
  <c r="F120" i="9" s="1"/>
  <c r="B120" i="9"/>
  <c r="H119" i="9"/>
  <c r="F119" i="9"/>
  <c r="D119" i="9"/>
  <c r="B119" i="9"/>
  <c r="H118" i="9"/>
  <c r="F118" i="9"/>
  <c r="E118" i="9"/>
  <c r="G118" i="9" s="1"/>
  <c r="D118" i="9"/>
  <c r="B118" i="9"/>
  <c r="H117" i="9"/>
  <c r="D117" i="9"/>
  <c r="B117" i="9"/>
  <c r="H116" i="9"/>
  <c r="D116" i="9"/>
  <c r="B116" i="9"/>
  <c r="H115" i="9"/>
  <c r="F115" i="9"/>
  <c r="D115" i="9"/>
  <c r="B115" i="9"/>
  <c r="H114" i="9"/>
  <c r="F114" i="9"/>
  <c r="E114" i="9"/>
  <c r="G114" i="9" s="1"/>
  <c r="D114" i="9"/>
  <c r="B114" i="9"/>
  <c r="H113" i="9"/>
  <c r="D113" i="9"/>
  <c r="B113" i="9"/>
  <c r="H112" i="9"/>
  <c r="G112" i="9"/>
  <c r="D112" i="9"/>
  <c r="F112" i="9" s="1"/>
  <c r="B112" i="9"/>
  <c r="H111" i="9"/>
  <c r="F111" i="9"/>
  <c r="D111" i="9"/>
  <c r="E111" i="9" s="1"/>
  <c r="G111" i="9" s="1"/>
  <c r="B111" i="9"/>
  <c r="H110" i="9"/>
  <c r="F110" i="9"/>
  <c r="E110" i="9"/>
  <c r="G110" i="9" s="1"/>
  <c r="D110" i="9"/>
  <c r="B110" i="9"/>
  <c r="H109" i="9"/>
  <c r="D109" i="9"/>
  <c r="B109" i="9"/>
  <c r="H108" i="9"/>
  <c r="D108" i="9"/>
  <c r="B108" i="9"/>
  <c r="H107" i="9"/>
  <c r="F107" i="9"/>
  <c r="D107" i="9"/>
  <c r="B107" i="9"/>
  <c r="H106" i="9"/>
  <c r="F106" i="9"/>
  <c r="E106" i="9"/>
  <c r="G106" i="9" s="1"/>
  <c r="D106" i="9"/>
  <c r="B106" i="9"/>
  <c r="H105" i="9"/>
  <c r="D105" i="9"/>
  <c r="B105" i="9"/>
  <c r="H104" i="9"/>
  <c r="D104" i="9"/>
  <c r="F104" i="9" s="1"/>
  <c r="B104" i="9"/>
  <c r="H103" i="9"/>
  <c r="G103" i="9"/>
  <c r="F103" i="9"/>
  <c r="D103" i="9"/>
  <c r="B103" i="9"/>
  <c r="H102" i="9"/>
  <c r="F102" i="9"/>
  <c r="E102" i="9"/>
  <c r="G102" i="9" s="1"/>
  <c r="D102" i="9"/>
  <c r="B102" i="9"/>
  <c r="H101" i="9"/>
  <c r="D101" i="9"/>
  <c r="B101" i="9"/>
  <c r="H100" i="9"/>
  <c r="D100" i="9"/>
  <c r="B100" i="9"/>
  <c r="H99" i="9"/>
  <c r="F99" i="9"/>
  <c r="D99" i="9"/>
  <c r="B99" i="9"/>
  <c r="H98" i="9"/>
  <c r="F98" i="9"/>
  <c r="E98" i="9"/>
  <c r="G98" i="9" s="1"/>
  <c r="D98" i="9"/>
  <c r="B98" i="9"/>
  <c r="H97" i="9"/>
  <c r="D97" i="9"/>
  <c r="B97" i="9"/>
  <c r="H96" i="9"/>
  <c r="D96" i="9"/>
  <c r="B96" i="9"/>
  <c r="H95" i="9"/>
  <c r="F95" i="9"/>
  <c r="D95" i="9"/>
  <c r="E95" i="9" s="1"/>
  <c r="G95" i="9" s="1"/>
  <c r="B95" i="9"/>
  <c r="H94" i="9"/>
  <c r="F94" i="9"/>
  <c r="E94" i="9"/>
  <c r="G94" i="9" s="1"/>
  <c r="D94" i="9"/>
  <c r="B94" i="9"/>
  <c r="H93" i="9"/>
  <c r="D93" i="9"/>
  <c r="E93" i="9" s="1"/>
  <c r="B93" i="9"/>
  <c r="H92" i="9"/>
  <c r="D92" i="9"/>
  <c r="B92" i="9"/>
  <c r="H91" i="9"/>
  <c r="F91" i="9"/>
  <c r="D91" i="9"/>
  <c r="B91" i="9"/>
  <c r="H90" i="9"/>
  <c r="F90" i="9"/>
  <c r="E90" i="9"/>
  <c r="G90" i="9" s="1"/>
  <c r="D90" i="9"/>
  <c r="B90" i="9"/>
  <c r="H89" i="9"/>
  <c r="D89" i="9"/>
  <c r="B89" i="9"/>
  <c r="H88" i="9"/>
  <c r="D88" i="9"/>
  <c r="F88" i="9" s="1"/>
  <c r="B88" i="9"/>
  <c r="H87" i="9"/>
  <c r="F87" i="9"/>
  <c r="D87" i="9"/>
  <c r="B87" i="9"/>
  <c r="H86" i="9"/>
  <c r="F86" i="9"/>
  <c r="E86" i="9"/>
  <c r="G86" i="9" s="1"/>
  <c r="D86" i="9"/>
  <c r="B86" i="9"/>
  <c r="H85" i="9"/>
  <c r="D85" i="9"/>
  <c r="B85" i="9"/>
  <c r="H84" i="9"/>
  <c r="D84" i="9"/>
  <c r="B84" i="9"/>
  <c r="H83" i="9"/>
  <c r="F83" i="9"/>
  <c r="D83" i="9"/>
  <c r="B83" i="9"/>
  <c r="H82" i="9"/>
  <c r="F82" i="9"/>
  <c r="E82" i="9"/>
  <c r="G82" i="9" s="1"/>
  <c r="D82" i="9"/>
  <c r="B82" i="9"/>
  <c r="H81" i="9"/>
  <c r="D81" i="9"/>
  <c r="B81" i="9"/>
  <c r="H80" i="9"/>
  <c r="D80" i="9"/>
  <c r="B80" i="9"/>
  <c r="H79" i="9"/>
  <c r="F79" i="9"/>
  <c r="D79" i="9"/>
  <c r="E79" i="9" s="1"/>
  <c r="G79" i="9" s="1"/>
  <c r="B79" i="9"/>
  <c r="H78" i="9"/>
  <c r="F78" i="9"/>
  <c r="E78" i="9"/>
  <c r="G78" i="9" s="1"/>
  <c r="D78" i="9"/>
  <c r="B78" i="9"/>
  <c r="H77" i="9"/>
  <c r="D77" i="9"/>
  <c r="B77" i="9"/>
  <c r="H76" i="9"/>
  <c r="D76" i="9"/>
  <c r="B76" i="9"/>
  <c r="H75" i="9"/>
  <c r="F75" i="9"/>
  <c r="D75" i="9"/>
  <c r="B75" i="9"/>
  <c r="H74" i="9"/>
  <c r="F74" i="9"/>
  <c r="E74" i="9"/>
  <c r="G74" i="9" s="1"/>
  <c r="D74" i="9"/>
  <c r="B74" i="9"/>
  <c r="H73" i="9"/>
  <c r="D73" i="9"/>
  <c r="B73" i="9"/>
  <c r="H72" i="9"/>
  <c r="D72" i="9"/>
  <c r="F72" i="9" s="1"/>
  <c r="B72" i="9"/>
  <c r="H71" i="9"/>
  <c r="F71" i="9"/>
  <c r="D71" i="9"/>
  <c r="B71" i="9"/>
  <c r="H70" i="9"/>
  <c r="G70" i="9"/>
  <c r="F70" i="9"/>
  <c r="E70" i="9"/>
  <c r="D70" i="9"/>
  <c r="B70" i="9"/>
  <c r="H69" i="9"/>
  <c r="D69" i="9"/>
  <c r="B69" i="9"/>
  <c r="H68" i="9"/>
  <c r="D68" i="9"/>
  <c r="B68" i="9"/>
  <c r="H67" i="9"/>
  <c r="F67" i="9"/>
  <c r="D67" i="9"/>
  <c r="B67" i="9"/>
  <c r="H66" i="9"/>
  <c r="F66" i="9"/>
  <c r="E66" i="9"/>
  <c r="G66" i="9" s="1"/>
  <c r="D66" i="9"/>
  <c r="B66" i="9"/>
  <c r="H65" i="9"/>
  <c r="D65" i="9"/>
  <c r="B65" i="9"/>
  <c r="H64" i="9"/>
  <c r="D64" i="9"/>
  <c r="B64" i="9"/>
  <c r="H63" i="9"/>
  <c r="F63" i="9"/>
  <c r="D63" i="9"/>
  <c r="E63" i="9" s="1"/>
  <c r="G63" i="9" s="1"/>
  <c r="B63" i="9"/>
  <c r="H62" i="9"/>
  <c r="F62" i="9"/>
  <c r="E62" i="9"/>
  <c r="G62" i="9" s="1"/>
  <c r="D62" i="9"/>
  <c r="B62" i="9"/>
  <c r="H61" i="9"/>
  <c r="D61" i="9"/>
  <c r="B61" i="9"/>
  <c r="H60" i="9"/>
  <c r="D60" i="9"/>
  <c r="B60" i="9"/>
  <c r="H59" i="9"/>
  <c r="F59" i="9"/>
  <c r="D59" i="9"/>
  <c r="B59" i="9"/>
  <c r="H58" i="9"/>
  <c r="F58" i="9"/>
  <c r="E58" i="9"/>
  <c r="G58" i="9" s="1"/>
  <c r="D58" i="9"/>
  <c r="B58" i="9"/>
  <c r="H57" i="9"/>
  <c r="D57" i="9"/>
  <c r="B57" i="9"/>
  <c r="H56" i="9"/>
  <c r="G56" i="9"/>
  <c r="D56" i="9"/>
  <c r="F56" i="9" s="1"/>
  <c r="B56" i="9"/>
  <c r="H55" i="9"/>
  <c r="F55" i="9"/>
  <c r="D55" i="9"/>
  <c r="B55" i="9"/>
  <c r="H54" i="9"/>
  <c r="F54" i="9"/>
  <c r="E54" i="9"/>
  <c r="G54" i="9" s="1"/>
  <c r="D54" i="9"/>
  <c r="B54" i="9"/>
  <c r="H53" i="9"/>
  <c r="D53" i="9"/>
  <c r="B53" i="9"/>
  <c r="H52" i="9"/>
  <c r="D52" i="9"/>
  <c r="B52" i="9"/>
  <c r="H51" i="9"/>
  <c r="F51" i="9"/>
  <c r="D51" i="9"/>
  <c r="B51" i="9"/>
  <c r="H50" i="9"/>
  <c r="F50" i="9"/>
  <c r="E50" i="9"/>
  <c r="G50" i="9" s="1"/>
  <c r="D50" i="9"/>
  <c r="B50" i="9"/>
  <c r="H49" i="9"/>
  <c r="D49" i="9"/>
  <c r="B49" i="9"/>
  <c r="H48" i="9"/>
  <c r="D48" i="9"/>
  <c r="B48" i="9"/>
  <c r="H47" i="9"/>
  <c r="G47" i="9"/>
  <c r="F47" i="9"/>
  <c r="D47" i="9"/>
  <c r="E47" i="9" s="1"/>
  <c r="B47" i="9"/>
  <c r="H46" i="9"/>
  <c r="F46" i="9"/>
  <c r="E46" i="9"/>
  <c r="G46" i="9" s="1"/>
  <c r="D46" i="9"/>
  <c r="B46" i="9"/>
  <c r="H45" i="9"/>
  <c r="D45" i="9"/>
  <c r="B45" i="9"/>
  <c r="H44" i="9"/>
  <c r="D44" i="9"/>
  <c r="B44" i="9"/>
  <c r="H43" i="9"/>
  <c r="F43" i="9"/>
  <c r="D43" i="9"/>
  <c r="B43" i="9"/>
  <c r="H42" i="9"/>
  <c r="F42" i="9"/>
  <c r="E42" i="9"/>
  <c r="G42" i="9" s="1"/>
  <c r="D42" i="9"/>
  <c r="B42" i="9"/>
  <c r="H41" i="9"/>
  <c r="D41" i="9"/>
  <c r="B41" i="9"/>
  <c r="H40" i="9"/>
  <c r="D40" i="9"/>
  <c r="F40" i="9" s="1"/>
  <c r="B40" i="9"/>
  <c r="H39" i="9"/>
  <c r="F39" i="9"/>
  <c r="D39" i="9"/>
  <c r="B39" i="9"/>
  <c r="H38" i="9"/>
  <c r="F38" i="9"/>
  <c r="E38" i="9"/>
  <c r="G38" i="9" s="1"/>
  <c r="D38" i="9"/>
  <c r="B38" i="9"/>
  <c r="H37" i="9"/>
  <c r="D37" i="9"/>
  <c r="B37" i="9"/>
  <c r="H36" i="9"/>
  <c r="D36" i="9"/>
  <c r="B36" i="9"/>
  <c r="H35" i="9"/>
  <c r="F35" i="9"/>
  <c r="D35" i="9"/>
  <c r="B35" i="9"/>
  <c r="H34" i="9"/>
  <c r="F34" i="9"/>
  <c r="E34" i="9"/>
  <c r="G34" i="9" s="1"/>
  <c r="D34" i="9"/>
  <c r="B34" i="9"/>
  <c r="H33" i="9"/>
  <c r="D33" i="9"/>
  <c r="B33" i="9"/>
  <c r="H32" i="9"/>
  <c r="D32" i="9"/>
  <c r="B32" i="9"/>
  <c r="H31" i="9"/>
  <c r="F31" i="9"/>
  <c r="D31" i="9"/>
  <c r="E31" i="9" s="1"/>
  <c r="G31" i="9" s="1"/>
  <c r="B31" i="9"/>
  <c r="H30" i="9"/>
  <c r="F30" i="9"/>
  <c r="E30" i="9"/>
  <c r="G30" i="9" s="1"/>
  <c r="D30" i="9"/>
  <c r="B30" i="9"/>
  <c r="H29" i="9"/>
  <c r="D29" i="9"/>
  <c r="B29" i="9"/>
  <c r="H28" i="9"/>
  <c r="G28" i="9"/>
  <c r="D28" i="9"/>
  <c r="B28" i="9"/>
  <c r="H27" i="9"/>
  <c r="F27" i="9"/>
  <c r="D27" i="9"/>
  <c r="B27" i="9"/>
  <c r="H26" i="9"/>
  <c r="F26" i="9"/>
  <c r="E26" i="9"/>
  <c r="G26" i="9" s="1"/>
  <c r="D26" i="9"/>
  <c r="B26" i="9"/>
  <c r="H25" i="9"/>
  <c r="D25" i="9"/>
  <c r="B25" i="9"/>
  <c r="H24" i="9"/>
  <c r="D24" i="9"/>
  <c r="F24" i="9" s="1"/>
  <c r="B24" i="9"/>
  <c r="H23" i="9"/>
  <c r="F23" i="9"/>
  <c r="D23" i="9"/>
  <c r="B23" i="9"/>
  <c r="H22" i="9"/>
  <c r="F22" i="9"/>
  <c r="E22" i="9"/>
  <c r="G22" i="9" s="1"/>
  <c r="D22" i="9"/>
  <c r="B22" i="9"/>
  <c r="H21" i="9"/>
  <c r="D21" i="9"/>
  <c r="B21" i="9"/>
  <c r="H20" i="9"/>
  <c r="D20" i="9"/>
  <c r="B20" i="9"/>
  <c r="H19" i="9"/>
  <c r="G19" i="9"/>
  <c r="F19" i="9"/>
  <c r="D19" i="9"/>
  <c r="B19" i="9"/>
  <c r="H18" i="9"/>
  <c r="F18" i="9"/>
  <c r="E18" i="9"/>
  <c r="G18" i="9" s="1"/>
  <c r="D18" i="9"/>
  <c r="B18" i="9"/>
  <c r="H17" i="9"/>
  <c r="D17" i="9"/>
  <c r="B17" i="9"/>
  <c r="H16" i="9"/>
  <c r="D16" i="9"/>
  <c r="B16" i="9"/>
  <c r="H15" i="9"/>
  <c r="G15" i="9"/>
  <c r="F15" i="9"/>
  <c r="D15" i="9"/>
  <c r="E15" i="9" s="1"/>
  <c r="B15" i="9"/>
  <c r="H14" i="9"/>
  <c r="G14" i="9"/>
  <c r="F14" i="9"/>
  <c r="E14" i="9"/>
  <c r="D14" i="9"/>
  <c r="B14" i="9"/>
  <c r="H13" i="9"/>
  <c r="D13" i="9"/>
  <c r="B13" i="9"/>
  <c r="H12" i="9"/>
  <c r="D12" i="9"/>
  <c r="B12" i="9"/>
  <c r="H11" i="9"/>
  <c r="F11" i="9"/>
  <c r="D11" i="9"/>
  <c r="B11" i="9"/>
  <c r="H10" i="9"/>
  <c r="F10" i="9"/>
  <c r="E10" i="9"/>
  <c r="G10" i="9" s="1"/>
  <c r="D10" i="9"/>
  <c r="B10" i="9"/>
  <c r="H9" i="9"/>
  <c r="D9" i="9"/>
  <c r="B9" i="9"/>
  <c r="H8" i="9"/>
  <c r="D8" i="9"/>
  <c r="F8" i="9" s="1"/>
  <c r="B8" i="9"/>
  <c r="H7" i="9"/>
  <c r="F7" i="9"/>
  <c r="D7" i="9"/>
  <c r="B7" i="9"/>
  <c r="H6" i="9"/>
  <c r="F6" i="9"/>
  <c r="E6" i="9"/>
  <c r="G6" i="9" s="1"/>
  <c r="D6" i="9"/>
  <c r="B6" i="9"/>
  <c r="H5" i="9"/>
  <c r="D5" i="9"/>
  <c r="B5" i="9"/>
  <c r="H4" i="9"/>
  <c r="D4" i="9"/>
  <c r="B4" i="9"/>
  <c r="H3" i="9"/>
  <c r="F3" i="9"/>
  <c r="D3" i="9"/>
  <c r="B3" i="9"/>
  <c r="H2" i="9"/>
  <c r="F2" i="9"/>
  <c r="E2" i="9"/>
  <c r="G2" i="9" s="1"/>
  <c r="D2" i="9"/>
  <c r="B2" i="9"/>
  <c r="F9" i="9" l="1"/>
  <c r="E9" i="9"/>
  <c r="G9" i="9" s="1"/>
  <c r="D10" i="7"/>
  <c r="C10" i="7"/>
  <c r="E10" i="7" s="1"/>
  <c r="D11" i="7"/>
  <c r="C11" i="7"/>
  <c r="E11" i="7" s="1"/>
  <c r="F17" i="9"/>
  <c r="E17" i="9"/>
  <c r="G17" i="9" s="1"/>
  <c r="F21" i="9"/>
  <c r="E21" i="9"/>
  <c r="G21" i="9" s="1"/>
  <c r="F25" i="9"/>
  <c r="E25" i="9"/>
  <c r="G25" i="9" s="1"/>
  <c r="E29" i="9"/>
  <c r="G29" i="9" s="1"/>
  <c r="F29" i="9"/>
  <c r="D12" i="7"/>
  <c r="C12" i="7"/>
  <c r="E12" i="7" s="1"/>
  <c r="G33" i="9"/>
  <c r="E33" i="9"/>
  <c r="F33" i="9"/>
  <c r="E13" i="7"/>
  <c r="D13" i="7"/>
  <c r="C13" i="7"/>
  <c r="G37" i="9"/>
  <c r="F37" i="9"/>
  <c r="E37" i="9"/>
  <c r="C2" i="7"/>
  <c r="E2" i="7" s="1"/>
  <c r="B17" i="7"/>
  <c r="D2" i="7"/>
  <c r="D3" i="7"/>
  <c r="C3" i="7"/>
  <c r="E3" i="7" s="1"/>
  <c r="E45" i="9"/>
  <c r="G45" i="9"/>
  <c r="F45" i="9"/>
  <c r="D4" i="7"/>
  <c r="C4" i="7"/>
  <c r="E4" i="7" s="1"/>
  <c r="E14" i="7"/>
  <c r="D14" i="7"/>
  <c r="C14" i="7"/>
  <c r="F49" i="9"/>
  <c r="E49" i="9"/>
  <c r="G49" i="9" s="1"/>
  <c r="F53" i="9"/>
  <c r="E53" i="9"/>
  <c r="G53" i="9" s="1"/>
  <c r="D5" i="7"/>
  <c r="C5" i="7"/>
  <c r="E5" i="7" s="1"/>
  <c r="E15" i="7"/>
  <c r="D15" i="7"/>
  <c r="C15" i="7"/>
  <c r="G5" i="9"/>
  <c r="F5" i="9"/>
  <c r="E5" i="9"/>
  <c r="D6" i="7"/>
  <c r="C6" i="7"/>
  <c r="E6" i="7" s="1"/>
  <c r="G61" i="9"/>
  <c r="F61" i="9"/>
  <c r="E61" i="9"/>
  <c r="F65" i="9"/>
  <c r="E65" i="9"/>
  <c r="G65" i="9" s="1"/>
  <c r="E16" i="7"/>
  <c r="D16" i="7"/>
  <c r="C16" i="7"/>
  <c r="D7" i="7"/>
  <c r="C7" i="7"/>
  <c r="E7" i="7" s="1"/>
  <c r="F41" i="9"/>
  <c r="E41" i="9"/>
  <c r="G41" i="9" s="1"/>
  <c r="F13" i="9"/>
  <c r="E13" i="9"/>
  <c r="G13" i="9" s="1"/>
  <c r="E77" i="9"/>
  <c r="G77" i="9" s="1"/>
  <c r="F77" i="9"/>
  <c r="D8" i="7"/>
  <c r="C8" i="7"/>
  <c r="E8" i="7" s="1"/>
  <c r="D9" i="7"/>
  <c r="C9" i="7"/>
  <c r="E9" i="7" s="1"/>
  <c r="E109" i="9"/>
  <c r="G109" i="9" s="1"/>
  <c r="E4" i="9"/>
  <c r="G4" i="9" s="1"/>
  <c r="E20" i="9"/>
  <c r="G20" i="9" s="1"/>
  <c r="E36" i="9"/>
  <c r="G36" i="9" s="1"/>
  <c r="E52" i="9"/>
  <c r="G52" i="9" s="1"/>
  <c r="E68" i="9"/>
  <c r="G68" i="9" s="1"/>
  <c r="E84" i="9"/>
  <c r="G84" i="9" s="1"/>
  <c r="F93" i="9"/>
  <c r="E100" i="9"/>
  <c r="G100" i="9" s="1"/>
  <c r="F109" i="9"/>
  <c r="E116" i="9"/>
  <c r="F125" i="9"/>
  <c r="F4" i="9"/>
  <c r="E11" i="9"/>
  <c r="G11" i="9" s="1"/>
  <c r="F20" i="9"/>
  <c r="E27" i="9"/>
  <c r="G27" i="9" s="1"/>
  <c r="F36" i="9"/>
  <c r="E43" i="9"/>
  <c r="G43" i="9" s="1"/>
  <c r="F52" i="9"/>
  <c r="E59" i="9"/>
  <c r="F68" i="9"/>
  <c r="E75" i="9"/>
  <c r="F84" i="9"/>
  <c r="E91" i="9"/>
  <c r="G91" i="9" s="1"/>
  <c r="G93" i="9"/>
  <c r="F100" i="9"/>
  <c r="E107" i="9"/>
  <c r="F116" i="9"/>
  <c r="E123" i="9"/>
  <c r="G125" i="9"/>
  <c r="F132" i="9"/>
  <c r="E139" i="9"/>
  <c r="G141" i="9"/>
  <c r="G116" i="9"/>
  <c r="F123" i="9"/>
  <c r="G132" i="9"/>
  <c r="F139" i="9"/>
  <c r="E89" i="9"/>
  <c r="E137" i="9"/>
  <c r="G139" i="9"/>
  <c r="E57" i="9"/>
  <c r="G59" i="9"/>
  <c r="E73" i="9"/>
  <c r="G75" i="9"/>
  <c r="E105" i="9"/>
  <c r="G107" i="9"/>
  <c r="E121" i="9"/>
  <c r="G121" i="9" s="1"/>
  <c r="G123" i="9"/>
  <c r="E32" i="9"/>
  <c r="G32" i="9" s="1"/>
  <c r="E64" i="9"/>
  <c r="G64" i="9" s="1"/>
  <c r="F73" i="9"/>
  <c r="E96" i="9"/>
  <c r="G96" i="9" s="1"/>
  <c r="F105" i="9"/>
  <c r="E112" i="9"/>
  <c r="F121" i="9"/>
  <c r="E128" i="9"/>
  <c r="G128" i="9" s="1"/>
  <c r="F137" i="9"/>
  <c r="E16" i="9"/>
  <c r="G16" i="9" s="1"/>
  <c r="E48" i="9"/>
  <c r="G48" i="9" s="1"/>
  <c r="F57" i="9"/>
  <c r="E80" i="9"/>
  <c r="G80" i="9" s="1"/>
  <c r="F89" i="9"/>
  <c r="E7" i="9"/>
  <c r="G7" i="9" s="1"/>
  <c r="F16" i="9"/>
  <c r="E23" i="9"/>
  <c r="G23" i="9" s="1"/>
  <c r="F32" i="9"/>
  <c r="E39" i="9"/>
  <c r="G39" i="9" s="1"/>
  <c r="F48" i="9"/>
  <c r="E55" i="9"/>
  <c r="G55" i="9" s="1"/>
  <c r="G57" i="9"/>
  <c r="F64" i="9"/>
  <c r="E71" i="9"/>
  <c r="G71" i="9" s="1"/>
  <c r="G73" i="9"/>
  <c r="F80" i="9"/>
  <c r="E87" i="9"/>
  <c r="G87" i="9" s="1"/>
  <c r="G89" i="9"/>
  <c r="F96" i="9"/>
  <c r="E103" i="9"/>
  <c r="G105" i="9"/>
  <c r="E119" i="9"/>
  <c r="G119" i="9" s="1"/>
  <c r="E135" i="9"/>
  <c r="G135" i="9" s="1"/>
  <c r="G137" i="9"/>
  <c r="E101" i="9"/>
  <c r="E133" i="9"/>
  <c r="E85" i="9"/>
  <c r="E69" i="9"/>
  <c r="E117" i="9"/>
  <c r="E12" i="9"/>
  <c r="G12" i="9" s="1"/>
  <c r="E28" i="9"/>
  <c r="E44" i="9"/>
  <c r="G44" i="9" s="1"/>
  <c r="E60" i="9"/>
  <c r="G60" i="9" s="1"/>
  <c r="F69" i="9"/>
  <c r="E76" i="9"/>
  <c r="G76" i="9" s="1"/>
  <c r="F85" i="9"/>
  <c r="E92" i="9"/>
  <c r="G92" i="9" s="1"/>
  <c r="F101" i="9"/>
  <c r="E108" i="9"/>
  <c r="G108" i="9" s="1"/>
  <c r="F117" i="9"/>
  <c r="E124" i="9"/>
  <c r="G124" i="9" s="1"/>
  <c r="F133" i="9"/>
  <c r="E3" i="9"/>
  <c r="G3" i="9" s="1"/>
  <c r="F12" i="9"/>
  <c r="E19" i="9"/>
  <c r="F28" i="9"/>
  <c r="E35" i="9"/>
  <c r="G35" i="9" s="1"/>
  <c r="F44" i="9"/>
  <c r="E51" i="9"/>
  <c r="G51" i="9" s="1"/>
  <c r="F60" i="9"/>
  <c r="E67" i="9"/>
  <c r="G67" i="9" s="1"/>
  <c r="G69" i="9"/>
  <c r="F76" i="9"/>
  <c r="E83" i="9"/>
  <c r="G83" i="9" s="1"/>
  <c r="G85" i="9"/>
  <c r="F92" i="9"/>
  <c r="E99" i="9"/>
  <c r="G99" i="9" s="1"/>
  <c r="G101" i="9"/>
  <c r="F108" i="9"/>
  <c r="E115" i="9"/>
  <c r="G117" i="9"/>
  <c r="F124" i="9"/>
  <c r="E131" i="9"/>
  <c r="G133" i="9"/>
  <c r="E97" i="9"/>
  <c r="G97" i="9" s="1"/>
  <c r="E24" i="9"/>
  <c r="G24" i="9" s="1"/>
  <c r="E56" i="9"/>
  <c r="E81" i="9"/>
  <c r="G81" i="9" s="1"/>
  <c r="E113" i="9"/>
  <c r="G113" i="9" s="1"/>
  <c r="G115" i="9"/>
  <c r="E129" i="9"/>
  <c r="G129" i="9" s="1"/>
  <c r="G131" i="9"/>
  <c r="E8" i="9"/>
  <c r="G8" i="9" s="1"/>
  <c r="E40" i="9"/>
  <c r="G40" i="9" s="1"/>
  <c r="E72" i="9"/>
  <c r="G72" i="9" s="1"/>
  <c r="F81" i="9"/>
  <c r="E88" i="9"/>
  <c r="G88" i="9" s="1"/>
  <c r="F97" i="9"/>
  <c r="E104" i="9"/>
  <c r="G104" i="9" s="1"/>
  <c r="F113" i="9"/>
  <c r="E120" i="9"/>
  <c r="G120" i="9" s="1"/>
  <c r="F129" i="9"/>
  <c r="E136" i="9"/>
  <c r="G136" i="9" s="1"/>
  <c r="F136" i="9"/>
  <c r="D17" i="7" l="1"/>
  <c r="E17" i="7"/>
  <c r="C1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1"/>
            <color theme="1"/>
            <rFont val="Aptos Narrow"/>
            <charset val="1"/>
          </rPr>
  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Aptos Narrow"/>
            <charset val="1"/>
          </rPr>
  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charset val="1"/>
          </rPr>
  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<sst xmlns="http://schemas.openxmlformats.org/spreadsheetml/2006/main" count="7703" uniqueCount="1868">
  <si>
    <t>כלי תקשורת</t>
  </si>
  <si>
    <t>תאריך הסקר</t>
  </si>
  <si>
    <t>מפלגה</t>
  </si>
  <si>
    <t>מנדטים</t>
  </si>
  <si>
    <t>כמות נשים צפויה</t>
  </si>
  <si>
    <t>כמות גברים צפויה</t>
  </si>
  <si>
    <t>אחוז נשים צפוי</t>
  </si>
  <si>
    <t>מועמדים ידועים (סה"כ)</t>
  </si>
  <si>
    <t>הערה</t>
  </si>
  <si>
    <t>ערוץ 14</t>
  </si>
  <si>
    <t>הליכוד</t>
  </si>
  <si>
    <t>יהדות התורה</t>
  </si>
  <si>
    <t>ש"ס</t>
  </si>
  <si>
    <t>כחול לבן</t>
  </si>
  <si>
    <t>הרשימה המשותפת</t>
  </si>
  <si>
    <t>ישראל ביתנו</t>
  </si>
  <si>
    <t>הדמוקרטים</t>
  </si>
  <si>
    <t>הציונות הדתית</t>
  </si>
  <si>
    <t>רע"מ</t>
  </si>
  <si>
    <t>עוצמה יהודית</t>
  </si>
  <si>
    <t>ביחד (בנט-לפיד)</t>
  </si>
  <si>
    <t>ישר!</t>
  </si>
  <si>
    <t>עמך ישראל</t>
  </si>
  <si>
    <t>המילואימניקים-הכלכלית</t>
  </si>
  <si>
    <t>כאן חדשות</t>
  </si>
  <si>
    <t>מעריב</t>
  </si>
  <si>
    <t>ישראל היום</t>
  </si>
  <si>
    <t>זמן ישראל</t>
  </si>
  <si>
    <t>חדשות 13</t>
  </si>
  <si>
    <t>ערוץ 16</t>
  </si>
  <si>
    <t>חדשות 12</t>
  </si>
  <si>
    <t>וואלה</t>
  </si>
  <si>
    <t>i24 news</t>
  </si>
  <si>
    <t>מיקום</t>
  </si>
  <si>
    <t>שם</t>
  </si>
  <si>
    <t>גבר/אישה</t>
  </si>
  <si>
    <t>מפלגת העבודה בראשות מרב מיכאלי</t>
  </si>
  <si>
    <t>מיכאלי מירב</t>
  </si>
  <si>
    <t>לזימי נעמה</t>
  </si>
  <si>
    <t>קריב גלעד</t>
  </si>
  <si>
    <t>רייטן מרום אפרת</t>
  </si>
  <si>
    <t>שפע רם</t>
  </si>
  <si>
    <t>מואטי אמילי חיה</t>
  </si>
  <si>
    <t>פינק יאיר</t>
  </si>
  <si>
    <t>מראענה אבתיסאם</t>
  </si>
  <si>
    <t>בר לב עמר ישראל</t>
  </si>
  <si>
    <t>ברון רון מהרטיה</t>
  </si>
  <si>
    <t>ח'ניפס אמיר</t>
  </si>
  <si>
    <t>נורי שקד מאיה</t>
  </si>
  <si>
    <t>קרני רז</t>
  </si>
  <si>
    <t>ברוך אלסה</t>
  </si>
  <si>
    <t>בר גיל גברי</t>
  </si>
  <si>
    <t>שהרבני סיידון הדס</t>
  </si>
  <si>
    <t>שי נחמן</t>
  </si>
  <si>
    <t>גולדמן אליס-פלורנטינה</t>
  </si>
  <si>
    <t>אביטל תומר</t>
  </si>
  <si>
    <t>דיין דינה</t>
  </si>
  <si>
    <t>ביילין גיל</t>
  </si>
  <si>
    <t>ספיר קולמן עינת</t>
  </si>
  <si>
    <t>טרצ'יצקי יאיר עמנואל</t>
  </si>
  <si>
    <t>אריאלי חן</t>
  </si>
  <si>
    <t>קיסוס קובי יעקב</t>
  </si>
  <si>
    <t>ירושלמי-רם שרי</t>
  </si>
  <si>
    <t>אבו ריאש פרחאן</t>
  </si>
  <si>
    <t>אלפסי סימון</t>
  </si>
  <si>
    <t>לגזיאל ברוך</t>
  </si>
  <si>
    <t>כהן דיקלה</t>
  </si>
  <si>
    <t>לסרי ניסים</t>
  </si>
  <si>
    <t>אשבול שולמית</t>
  </si>
  <si>
    <t>אגמי יואב</t>
  </si>
  <si>
    <t>מנסור נאזק</t>
  </si>
  <si>
    <t>גדות זרצנסקי ירון</t>
  </si>
  <si>
    <t>מרציאנו ענת</t>
  </si>
  <si>
    <t>מימרן רועי</t>
  </si>
  <si>
    <t>הקר שני</t>
  </si>
  <si>
    <t>לוי אבי</t>
  </si>
  <si>
    <t>רמות רינה</t>
  </si>
  <si>
    <t>רוזן ניר</t>
  </si>
  <si>
    <t>דרוקמן נופר</t>
  </si>
  <si>
    <t>אלוביץ טל יחזקאל</t>
  </si>
  <si>
    <t>ראזר שירה</t>
  </si>
  <si>
    <t>ירמיהו נחום</t>
  </si>
  <si>
    <t>חייט אבירז טלי</t>
  </si>
  <si>
    <t>קורנפלד עפר</t>
  </si>
  <si>
    <t>שילה דורית</t>
  </si>
  <si>
    <t>לבנסארט נתן דניאלה</t>
  </si>
  <si>
    <t>אזולאי דניאל</t>
  </si>
  <si>
    <t>גולני נעה</t>
  </si>
  <si>
    <t>לנגר נמרוד</t>
  </si>
  <si>
    <t>שיינדורף מאשה</t>
  </si>
  <si>
    <t>רוזנטל דן</t>
  </si>
  <si>
    <t>לניר ליאור</t>
  </si>
  <si>
    <t>נבו אביטבול טל</t>
  </si>
  <si>
    <t>ארליך עלמה-דליה</t>
  </si>
  <si>
    <t>פרדס אברהם</t>
  </si>
  <si>
    <t>ביטי שלוח אורלי</t>
  </si>
  <si>
    <t>הריס יואב חיים</t>
  </si>
  <si>
    <t>גרנות-לובטון שני</t>
  </si>
  <si>
    <t>סגמן רועי</t>
  </si>
  <si>
    <t>חסידוב נועה</t>
  </si>
  <si>
    <t>שוורץ יובל</t>
  </si>
  <si>
    <t>שלפמן שיינה</t>
  </si>
  <si>
    <t>לובין אמיר</t>
  </si>
  <si>
    <t>.כהן נעמה</t>
  </si>
  <si>
    <t>קויש טננבאום שחר יעקב</t>
  </si>
  <si>
    <t>סרי אור</t>
  </si>
  <si>
    <t>אלשטיין חנן</t>
  </si>
  <si>
    <t>אורן לידור</t>
  </si>
  <si>
    <t>גרוניק אריה (ליאו)</t>
  </si>
  <si>
    <t>אלעד שטרנגר יוליה</t>
  </si>
  <si>
    <t>בר-נר דן איל</t>
  </si>
  <si>
    <t>פרידמן מדי מנדי</t>
  </si>
  <si>
    <t>בילקר דן</t>
  </si>
  <si>
    <t>ברנשטוק סימה שמחה חיה</t>
  </si>
  <si>
    <t>מיניץ' בנימין דניאל</t>
  </si>
  <si>
    <t>לאו תהל אור</t>
  </si>
  <si>
    <t>בן יהודה ערן</t>
  </si>
  <si>
    <t>כהן שולמית שולה</t>
  </si>
  <si>
    <t>אורנשטיין עידו</t>
  </si>
  <si>
    <t>רוז אליגון תלמה</t>
  </si>
  <si>
    <t>חוסקוביץ סילביו גבריאל</t>
  </si>
  <si>
    <t>שמיר קינן שולי שולמית</t>
  </si>
  <si>
    <t>דאר מולחם מלחם</t>
  </si>
  <si>
    <t>פרץ צפורה</t>
  </si>
  <si>
    <t>שקרון פרץ</t>
  </si>
  <si>
    <t>שפירא חרש נועה</t>
  </si>
  <si>
    <t>גולד ברוך יהודה</t>
  </si>
  <si>
    <t>דוידוביץ אסתר</t>
  </si>
  <si>
    <t>קסל ישראל מאיר</t>
  </si>
  <si>
    <t>לוי רוזנבלום שני מאירה</t>
  </si>
  <si>
    <t>פכטר אריה</t>
  </si>
  <si>
    <t>כהן חיה</t>
  </si>
  <si>
    <t>חולבסקי יצחק</t>
  </si>
  <si>
    <t>קלינגר-אתיאל נגה</t>
  </si>
  <si>
    <t>אלימלך זהבה בובה</t>
  </si>
  <si>
    <t>קוניק רן</t>
  </si>
  <si>
    <t>גל ישראל</t>
  </si>
  <si>
    <t>לן כהן רויטל</t>
  </si>
  <si>
    <t>ריטוב עמיר</t>
  </si>
  <si>
    <t>גרינבלום עידו</t>
  </si>
  <si>
    <t>בוקאעי מחמוד</t>
  </si>
  <si>
    <t>מנסור איאד</t>
  </si>
  <si>
    <t>קבלו פנחס פיני</t>
  </si>
  <si>
    <t>מזרחי שמואל</t>
  </si>
  <si>
    <t>אביטן שלמה</t>
  </si>
  <si>
    <t>בירן מיכל</t>
  </si>
  <si>
    <t>ונונו יוסף</t>
  </si>
  <si>
    <t>רוזנטל משה מיכאל</t>
  </si>
  <si>
    <t>גולדמן מיכה</t>
  </si>
  <si>
    <t>לובלסקי מאשה</t>
  </si>
  <si>
    <t>שיטרית שמעון</t>
  </si>
  <si>
    <t>מצנע עמרם</t>
  </si>
  <si>
    <t>סנה אפרים</t>
  </si>
  <si>
    <t>כהן רענן</t>
  </si>
  <si>
    <t>בר עם עוזי</t>
  </si>
  <si>
    <t>חריש מיכאל מיכה</t>
  </si>
  <si>
    <t>שחל משה</t>
  </si>
  <si>
    <t>חופש כלכלי בראשות אביר קארה</t>
  </si>
  <si>
    <t>קארה אביר (אברהם)</t>
  </si>
  <si>
    <t>קלישר עידית</t>
  </si>
  <si>
    <t>אלפר גלעד</t>
  </si>
  <si>
    <t>בר סוזן</t>
  </si>
  <si>
    <t>חיימוב אברהם</t>
  </si>
  <si>
    <t>עמרם איתן</t>
  </si>
  <si>
    <t>צדקיהו נעמה</t>
  </si>
  <si>
    <t>כחלון אביטל אנט</t>
  </si>
  <si>
    <t>חדידה לוסי</t>
  </si>
  <si>
    <t>בביי יום טוב עודד</t>
  </si>
  <si>
    <t>ליבוביץ יצחק</t>
  </si>
  <si>
    <t>קדמי ליאת</t>
  </si>
  <si>
    <t>אמיר עידן</t>
  </si>
  <si>
    <t>זוילי אילן נתן</t>
  </si>
  <si>
    <t>לב אלון</t>
  </si>
  <si>
    <t>כידן טל</t>
  </si>
  <si>
    <t>גל תמרי עומר</t>
  </si>
  <si>
    <t>פרטמן רוסלן</t>
  </si>
  <si>
    <t>גיספאן ישי ישעיהו</t>
  </si>
  <si>
    <t>זלייט אחייה</t>
  </si>
  <si>
    <t>אמרגי אורי</t>
  </si>
  <si>
    <t>ביתן עינת</t>
  </si>
  <si>
    <t>רוט אבי</t>
  </si>
  <si>
    <t>אדלר רפאל</t>
  </si>
  <si>
    <t>ארזי יניב</t>
  </si>
  <si>
    <t>קדר לוי עדי</t>
  </si>
  <si>
    <t>קזאז ראם</t>
  </si>
  <si>
    <t>הבית היהודי בראשות איילת שקד</t>
  </si>
  <si>
    <t>שקד אילת</t>
  </si>
  <si>
    <t>ברודני יוסף</t>
  </si>
  <si>
    <t>פורת אמיתי</t>
  </si>
  <si>
    <t>לייטנר ניצנה</t>
  </si>
  <si>
    <t>כלפון יום טוב חי</t>
  </si>
  <si>
    <t>שטרקמן אורנה</t>
  </si>
  <si>
    <t>חנייא משה</t>
  </si>
  <si>
    <t>רוזנפלד נוי</t>
  </si>
  <si>
    <t>בן נאים גילה</t>
  </si>
  <si>
    <t>סלטן ג'רמי</t>
  </si>
  <si>
    <t>לוי דור יצחק</t>
  </si>
  <si>
    <t>אוזן אוהד</t>
  </si>
  <si>
    <t>קדוש איילה</t>
  </si>
  <si>
    <t>גריידי שמואל</t>
  </si>
  <si>
    <t>בונפיל ישי דוד</t>
  </si>
  <si>
    <t>כהן דוד</t>
  </si>
  <si>
    <t>עמרוסי שמואל</t>
  </si>
  <si>
    <t>אטיאס אתי</t>
  </si>
  <si>
    <t>בר לב איל</t>
  </si>
  <si>
    <t>לוזון ארז אשר</t>
  </si>
  <si>
    <t>יהדות התורה והשבת אגודת ישראל – דגל התורה</t>
  </si>
  <si>
    <t>גולדקנופ יצחק יששכר</t>
  </si>
  <si>
    <t>גפני משה רפאל</t>
  </si>
  <si>
    <t>פרוש מאיר</t>
  </si>
  <si>
    <t>מקלב ישראל מאיר אורי</t>
  </si>
  <si>
    <t>טסלר יואל יעקב</t>
  </si>
  <si>
    <t>אשר יעקב</t>
  </si>
  <si>
    <t>אייכלר ישראל יצחק</t>
  </si>
  <si>
    <t>פינדרוס יצחק זאב</t>
  </si>
  <si>
    <t>רוט משה</t>
  </si>
  <si>
    <t>ברוכי אליהו</t>
  </si>
  <si>
    <t>הרשלר בנימין</t>
  </si>
  <si>
    <t>.אוחנה דוד</t>
  </si>
  <si>
    <t>באהם יוסף</t>
  </si>
  <si>
    <t>רייך יצחק</t>
  </si>
  <si>
    <t>דייטש יוסי</t>
  </si>
  <si>
    <t>רובינשטיין אברהם</t>
  </si>
  <si>
    <t>וינגרטן יחיאל אריה</t>
  </si>
  <si>
    <t>גוטרמן יעקב אשר</t>
  </si>
  <si>
    <t>אברמוביץ פרץ</t>
  </si>
  <si>
    <t>רביץ יצחק</t>
  </si>
  <si>
    <t>ויזל חיים מאיר</t>
  </si>
  <si>
    <t>שפירא מנחם מנדל</t>
  </si>
  <si>
    <t>הלברשטאם מיכאל</t>
  </si>
  <si>
    <t>מורגנשטרן משה דוד</t>
  </si>
  <si>
    <t>רושגולד אברהם צבי</t>
  </si>
  <si>
    <t>מלמד מיכאל</t>
  </si>
  <si>
    <t>דונט אהרן פנחס אליהו</t>
  </si>
  <si>
    <t>גולדנטל שלמה יהודה</t>
  </si>
  <si>
    <t>אשר דוב</t>
  </si>
  <si>
    <t>ראוכברגר אליעזר צבי</t>
  </si>
  <si>
    <t>וובר אפרים</t>
  </si>
  <si>
    <t>דייטש אברהם בן ציון</t>
  </si>
  <si>
    <t>ברסלר אברהם אלכסנדר זיסקינד</t>
  </si>
  <si>
    <t>אלפר מרדכי מיכאל</t>
  </si>
  <si>
    <t>גרינוולד דוד יהודה</t>
  </si>
  <si>
    <t>קלרמן שמעון ישראל</t>
  </si>
  <si>
    <t>גוטסמן שמואל יהודה</t>
  </si>
  <si>
    <t>גולומב ישראל יצחק</t>
  </si>
  <si>
    <t>בריסק מרדכי</t>
  </si>
  <si>
    <t>שטרית יוסף שאול</t>
  </si>
  <si>
    <t>ויסמן ישעיהו יצחק</t>
  </si>
  <si>
    <t>בדוש פנחס שלום</t>
  </si>
  <si>
    <t>קוסטליץ שלמה זכריה</t>
  </si>
  <si>
    <t>יברוב יהודה</t>
  </si>
  <si>
    <t>דייטש שלמה</t>
  </si>
  <si>
    <t>בלוי מרדכי זאב</t>
  </si>
  <si>
    <t>טירהויז אהרן</t>
  </si>
  <si>
    <t>מרקוביץ שבתי</t>
  </si>
  <si>
    <t>רובינשטיין הלל</t>
  </si>
  <si>
    <t>סירוקה פנחס דוד</t>
  </si>
  <si>
    <t>גולדברג שמעון</t>
  </si>
  <si>
    <t>ברנר יצחק דב</t>
  </si>
  <si>
    <t>קליין יצחק אהרן</t>
  </si>
  <si>
    <t>זלץ דוד</t>
  </si>
  <si>
    <t>פרנקל אברהם נחמן</t>
  </si>
  <si>
    <t>יפה מאיר</t>
  </si>
  <si>
    <t>אוביץ עקיבא</t>
  </si>
  <si>
    <t>סברדלוב ישראל מאיר</t>
  </si>
  <si>
    <t>ויזל אפרים פישל</t>
  </si>
  <si>
    <t>שטרן אברהם פנחס</t>
  </si>
  <si>
    <t>קליין אהרן</t>
  </si>
  <si>
    <t>פולק שלמה אפרים</t>
  </si>
  <si>
    <t>רוטנר דוד נחמן</t>
  </si>
  <si>
    <t>גולדברג מרדכי</t>
  </si>
  <si>
    <t>גרליץ מיכאל דוב</t>
  </si>
  <si>
    <t>סילברסטין ישראל מרדכי</t>
  </si>
  <si>
    <t>שוק שמואל</t>
  </si>
  <si>
    <t>ברונר אליהו יוסף</t>
  </si>
  <si>
    <t>קרויזר שמעון</t>
  </si>
  <si>
    <t>אפשטיין חיים יצחק</t>
  </si>
  <si>
    <t>ויכלדר חיים ברוך</t>
  </si>
  <si>
    <t>גולד מנחם מנדל</t>
  </si>
  <si>
    <t>בקנרוט יחזקאל שרגא</t>
  </si>
  <si>
    <t>גיטלר נחום אהרון</t>
  </si>
  <si>
    <t>כהן ישראל חיים</t>
  </si>
  <si>
    <t>ברגמן שמעון אליהו</t>
  </si>
  <si>
    <t>מילר ישראל</t>
  </si>
  <si>
    <t>.אלקיים עופר</t>
  </si>
  <si>
    <t>שפיצר דוד</t>
  </si>
  <si>
    <t>פולק יהודה אריה</t>
  </si>
  <si>
    <t>שכטר אליהו</t>
  </si>
  <si>
    <t>לוונשטיין בנימין טוביה</t>
  </si>
  <si>
    <t>נוימן יקותיאל זלמן</t>
  </si>
  <si>
    <t>מונטג שלמה צבי</t>
  </si>
  <si>
    <t>שיינין גדליהו</t>
  </si>
  <si>
    <t>עזרא עופר</t>
  </si>
  <si>
    <t>רובינשטיין אליעזר דוד</t>
  </si>
  <si>
    <t>ויסנשטרן אלקנה</t>
  </si>
  <si>
    <t>פרקש זאב</t>
  </si>
  <si>
    <t>זיסמן אריה יהודה</t>
  </si>
  <si>
    <t>גנץ יעקב יוסף</t>
  </si>
  <si>
    <t>פרומר אלחנן</t>
  </si>
  <si>
    <t>לייזר ישראל</t>
  </si>
  <si>
    <t>מילר דוד</t>
  </si>
  <si>
    <t>זורגר יעקב חיים</t>
  </si>
  <si>
    <t>וייס אפרים</t>
  </si>
  <si>
    <t>פרנקל ישראל</t>
  </si>
  <si>
    <t>וייס נתן</t>
  </si>
  <si>
    <t>נחמן אליעזר צבי</t>
  </si>
  <si>
    <t>שטרן שלמה</t>
  </si>
  <si>
    <t>בלוי שמעון</t>
  </si>
  <si>
    <t>מושקוביץ יונה</t>
  </si>
  <si>
    <t>הורביץ יצחק</t>
  </si>
  <si>
    <t>פרנק משה</t>
  </si>
  <si>
    <t>ברנשטיין מנחם שמעון שלמה אריה</t>
  </si>
  <si>
    <t>ארנטרוי אלחנן</t>
  </si>
  <si>
    <t>קלוגמן מנחם</t>
  </si>
  <si>
    <t>מן משה</t>
  </si>
  <si>
    <t>גפני אליהו</t>
  </si>
  <si>
    <t>מישקובסקי אברהם יצחק</t>
  </si>
  <si>
    <t>לנדאו יחזקאל שאול</t>
  </si>
  <si>
    <t>שורץ מנחם</t>
  </si>
  <si>
    <t>רוט יהודה</t>
  </si>
  <si>
    <t>ויזבינסקי יעקב</t>
  </si>
  <si>
    <t>כץ חיים מאיר</t>
  </si>
  <si>
    <t>חדד שמעון</t>
  </si>
  <si>
    <t>שורץ אברהם</t>
  </si>
  <si>
    <t>בוימל אריה צבי</t>
  </si>
  <si>
    <t>זייברט חנוך</t>
  </si>
  <si>
    <t>סורוצקין אליעזר</t>
  </si>
  <si>
    <t>בל"ד - אלתג'מוע אלווטני אלדמוקרטי בראשות סמי אבו שחאדה</t>
  </si>
  <si>
    <t>אבו שחאדה סמי</t>
  </si>
  <si>
    <t>שחאדה אנטאנס</t>
  </si>
  <si>
    <t>חוש טאטור דועא</t>
  </si>
  <si>
    <t>קעדאן וליד</t>
  </si>
  <si>
    <t>קיס מחאסן</t>
  </si>
  <si>
    <t>ויצמן דיאמונד עינת</t>
  </si>
  <si>
    <t>אל עתאיקה סלימאן</t>
  </si>
  <si>
    <t>טנוס נחלה</t>
  </si>
  <si>
    <t>עבד מרוה</t>
  </si>
  <si>
    <t>אגבאריה וסאם</t>
  </si>
  <si>
    <t>פוקרא עבד אלרחים</t>
  </si>
  <si>
    <t>אבו סכות חאלד</t>
  </si>
  <si>
    <t>תיתי חאלד</t>
  </si>
  <si>
    <t>דקה פתחי</t>
  </si>
  <si>
    <t>דלאל סילאן</t>
  </si>
  <si>
    <t>בכרי קאסם</t>
  </si>
  <si>
    <t>גטאס ראיד</t>
  </si>
  <si>
    <t>זועבי חנין</t>
  </si>
  <si>
    <t>טאהא ואסל</t>
  </si>
  <si>
    <t>זחאלקה ג'מאל</t>
  </si>
  <si>
    <t>חד"ש תע"ל בראשות איימן עודה ואחמד טיבי</t>
  </si>
  <si>
    <t>עודה איימן</t>
  </si>
  <si>
    <t>טיבי אחמד</t>
  </si>
  <si>
    <t>. תומא סלימאן עאידה</t>
  </si>
  <si>
    <t>כסיף עופר</t>
  </si>
  <si>
    <t>. עטאונה יוסף</t>
  </si>
  <si>
    <t>בן סעיד סמיר</t>
  </si>
  <si>
    <t>סיף גאלב</t>
  </si>
  <si>
    <t>. קעדאן איעתמאד</t>
  </si>
  <si>
    <t>. ושאחי נהאיה</t>
  </si>
  <si>
    <t>שקיר אחמד</t>
  </si>
  <si>
    <t>לוי נועה</t>
  </si>
  <si>
    <t>. נערה טבעוני פידא</t>
  </si>
  <si>
    <t>. חמרשי בלאל</t>
  </si>
  <si>
    <t>. ואכד עומר</t>
  </si>
  <si>
    <t>עווידר זיאד</t>
  </si>
  <si>
    <t>זידאן שווירי שאדי</t>
  </si>
  <si>
    <t>נאסר וליד</t>
  </si>
  <si>
    <t>אבו ריא ספואת</t>
  </si>
  <si>
    <t>עבאס שאדי באסל</t>
  </si>
  <si>
    <t>סאלם קאסם</t>
  </si>
  <si>
    <t>חמודה מוניר</t>
  </si>
  <si>
    <t>גבארה אלמאסה</t>
  </si>
  <si>
    <t>פריג אחמד</t>
  </si>
  <si>
    <t>דוידי אפרים</t>
  </si>
  <si>
    <t>אל מדעמה סאלם</t>
  </si>
  <si>
    <t>אבו יאסין בסאם</t>
  </si>
  <si>
    <t>סטולר מור שושן</t>
  </si>
  <si>
    <t>נסאר שאדי</t>
  </si>
  <si>
    <t>אל קצאצי קאיד</t>
  </si>
  <si>
    <t>דביט בוסינה</t>
  </si>
  <si>
    <t>פלד אורן דוד</t>
  </si>
  <si>
    <t>חאג' יחיא מטאוע</t>
  </si>
  <si>
    <t>עביד פוז</t>
  </si>
  <si>
    <t>איוב עבד אל כרים</t>
  </si>
  <si>
    <t>חלאג' נביל</t>
  </si>
  <si>
    <t>סכסכ עומר</t>
  </si>
  <si>
    <t>קיים תאופיק</t>
  </si>
  <si>
    <t>טולדנו תומר</t>
  </si>
  <si>
    <t>ח'טיב חוסין</t>
  </si>
  <si>
    <t>כיואן עלי</t>
  </si>
  <si>
    <t>טנוס באסל</t>
  </si>
  <si>
    <t>דוחאן מסעב</t>
  </si>
  <si>
    <t>תיים נאדר</t>
  </si>
  <si>
    <t>דלאשה רואה</t>
  </si>
  <si>
    <t>זעתרה רג'א</t>
  </si>
  <si>
    <t>בדר נוהא</t>
  </si>
  <si>
    <t>מעוז אילת</t>
  </si>
  <si>
    <t>כנעאן מוחמד</t>
  </si>
  <si>
    <t>בסיוני עזיז</t>
  </si>
  <si>
    <t>סואעד קמר</t>
  </si>
  <si>
    <t>מנאע חוסין</t>
  </si>
  <si>
    <t>שהאב גומעה</t>
  </si>
  <si>
    <t>אבו אחמד ואפי</t>
  </si>
  <si>
    <t>סלאמה כאמל</t>
  </si>
  <si>
    <t>בלעום שאכר</t>
  </si>
  <si>
    <t>סעיד איבת</t>
  </si>
  <si>
    <t>חאג' מוחמד אחמד</t>
  </si>
  <si>
    <t>כרכבי זוהיר</t>
  </si>
  <si>
    <t>חאג' יחיא פיראס</t>
  </si>
  <si>
    <t>טובי גנאן</t>
  </si>
  <si>
    <t>מיעארי אמג'ד</t>
  </si>
  <si>
    <t>בשארה תאיסיר</t>
  </si>
  <si>
    <t>מחיליה מנסור</t>
  </si>
  <si>
    <t>שביטה ויאם</t>
  </si>
  <si>
    <t>נוסראללה גורג'</t>
  </si>
  <si>
    <t>סכראן נאיף</t>
  </si>
  <si>
    <t>מוהנא מופיד</t>
  </si>
  <si>
    <t>כהן מתן</t>
  </si>
  <si>
    <t>אסמאעיל סאלין סאלי</t>
  </si>
  <si>
    <t>זועבי שריף</t>
  </si>
  <si>
    <t>שנאוי אניס</t>
  </si>
  <si>
    <t>ח'ורי ליאנה</t>
  </si>
  <si>
    <t>.ח'ורי ח'ליל</t>
  </si>
  <si>
    <t>קאדרי  אחמד</t>
  </si>
  <si>
    <t>פרח למיס</t>
  </si>
  <si>
    <t>מוסא נימר</t>
  </si>
  <si>
    <t>עזאיזה זאהר</t>
  </si>
  <si>
    <t>חנין עידו</t>
  </si>
  <si>
    <t>היבי פתחי</t>
  </si>
  <si>
    <t>סאפייה פלאח</t>
  </si>
  <si>
    <t>אבו ליל עבדאללה</t>
  </si>
  <si>
    <t>דראושה היתם</t>
  </si>
  <si>
    <t>חנא פאתנה</t>
  </si>
  <si>
    <t>שביטה עבד אל מנאן</t>
  </si>
  <si>
    <t>רדא עבד</t>
  </si>
  <si>
    <t>ואכים סלוה</t>
  </si>
  <si>
    <t>מוהרא זיאד</t>
  </si>
  <si>
    <t>מוסא חיסין</t>
  </si>
  <si>
    <t>אבו אחמד סוהייל</t>
  </si>
  <si>
    <t>שחר כוח חברתי בראשות וג'די טאהר</t>
  </si>
  <si>
    <t>טאהר וג'די</t>
  </si>
  <si>
    <t>כץ יהודה</t>
  </si>
  <si>
    <t>בן מלך שני</t>
  </si>
  <si>
    <t>סטניסלבסקי מיכאל</t>
  </si>
  <si>
    <t>שוסטר דור</t>
  </si>
  <si>
    <t>עבדאללה כארם</t>
  </si>
  <si>
    <t>עזאם נסרין</t>
  </si>
  <si>
    <t>הייב רואיידה</t>
  </si>
  <si>
    <t>קמ"ה - קידום מעמד הפרט</t>
  </si>
  <si>
    <t>בירן דורית</t>
  </si>
  <si>
    <t>אמבש אילנה</t>
  </si>
  <si>
    <t>אלישע יהודית</t>
  </si>
  <si>
    <t>בר נועה</t>
  </si>
  <si>
    <t>כח להשפיע בראשות בני אלבז</t>
  </si>
  <si>
    <t>אלבז בנימין</t>
  </si>
  <si>
    <t>יהודה דורון</t>
  </si>
  <si>
    <t>גוזלי חיים</t>
  </si>
  <si>
    <t>בן סעדון דניאל</t>
  </si>
  <si>
    <t>טלקאר דניאל</t>
  </si>
  <si>
    <t>עדני ידידיה</t>
  </si>
  <si>
    <t>זאנה ארז סימון</t>
  </si>
  <si>
    <t>בן יששכר אסתר</t>
  </si>
  <si>
    <t>ורסנו נדיב</t>
  </si>
  <si>
    <t>תשובה אברהם</t>
  </si>
  <si>
    <t>ארביב אפרת</t>
  </si>
  <si>
    <t>רחמים יונתן דוד</t>
  </si>
  <si>
    <t>בן יששכר יעקב</t>
  </si>
  <si>
    <t>לוין סלומיה נתנאלה</t>
  </si>
  <si>
    <t>צומת בראשות משה גרין דרכו של רפול</t>
  </si>
  <si>
    <t>גרין משה</t>
  </si>
  <si>
    <t>מס שביט</t>
  </si>
  <si>
    <t>הליבני אלי</t>
  </si>
  <si>
    <t>רייף גיא</t>
  </si>
  <si>
    <t>אונגר שמואל</t>
  </si>
  <si>
    <t>הציונות הדתית בראשות בצלאל סמוטריץ ועוצמה יהודית בראשות איתמר בן גביר</t>
  </si>
  <si>
    <t>סמוטריץ בצלאל יואל</t>
  </si>
  <si>
    <t>בן גביר איתמר</t>
  </si>
  <si>
    <t>סופר אופיר</t>
  </si>
  <si>
    <t>סטרוק אורית מלכה</t>
  </si>
  <si>
    <t>וסרלאוף יצחק שמעון</t>
  </si>
  <si>
    <t>רוטמן שמחה דן</t>
  </si>
  <si>
    <t>כהן אלמוג</t>
  </si>
  <si>
    <t>וולדיגר מיכל מרים</t>
  </si>
  <si>
    <t>בן אליהו עמיחי</t>
  </si>
  <si>
    <t>.פוגל צביקה</t>
  </si>
  <si>
    <t>מעוז אביגדור</t>
  </si>
  <si>
    <t>טל אוהד</t>
  </si>
  <si>
    <t>סון הר-מלך לימור</t>
  </si>
  <si>
    <t>סולומון משה</t>
  </si>
  <si>
    <t>קרויזר יצחק</t>
  </si>
  <si>
    <t>סוכות צבי ידידיה</t>
  </si>
  <si>
    <t>.אליהו צחי יצחק</t>
  </si>
  <si>
    <t>זאגא יצחק חי</t>
  </si>
  <si>
    <t>בן זיקרי משה</t>
  </si>
  <si>
    <t>סגל ארנון יעקב</t>
  </si>
  <si>
    <t>אוחנה דרור מאיר</t>
  </si>
  <si>
    <t>גונן דבורה</t>
  </si>
  <si>
    <t>שוראקי עפרה</t>
  </si>
  <si>
    <t>זרביב נעמה</t>
  </si>
  <si>
    <t>אליעזר אייל</t>
  </si>
  <si>
    <t>צינקין רחל</t>
  </si>
  <si>
    <t>צרויה לאה</t>
  </si>
  <si>
    <t>סיידלר מאיר</t>
  </si>
  <si>
    <t>אשר אבי</t>
  </si>
  <si>
    <t>שפייזר יוסף</t>
  </si>
  <si>
    <t>גבריאלי יוגב</t>
  </si>
  <si>
    <t>פיין דוד שמואל</t>
  </si>
  <si>
    <t>יומטוביאן אור אליה</t>
  </si>
  <si>
    <t>יעיש אלירן</t>
  </si>
  <si>
    <t>גבעתי אסף יוסף</t>
  </si>
  <si>
    <t>בהטה משה טזרה</t>
  </si>
  <si>
    <t>בידוש קרן</t>
  </si>
  <si>
    <t>רוט משה יחיאל</t>
  </si>
  <si>
    <t>יושובייב טל רחמים</t>
  </si>
  <si>
    <t>נחשון רלי</t>
  </si>
  <si>
    <t>שולב אורי</t>
  </si>
  <si>
    <t>פריזיס מרדכי</t>
  </si>
  <si>
    <t>שמח עמיחי ישראל</t>
  </si>
  <si>
    <t>הרוניאן יצחק</t>
  </si>
  <si>
    <t>סוסובר כהן איתמר משה</t>
  </si>
  <si>
    <t>רחמים שמעון מאיר</t>
  </si>
  <si>
    <t>דרוקמן חיים מאיר</t>
  </si>
  <si>
    <t>ישראל חופשית דמוקרטית בראשות אלי אבידר</t>
  </si>
  <si>
    <t>אבידר אלי</t>
  </si>
  <si>
    <t>רותם רפי</t>
  </si>
  <si>
    <t>שביט לירי</t>
  </si>
  <si>
    <t>שצופק חיים</t>
  </si>
  <si>
    <t>אסיאס אברהם</t>
  </si>
  <si>
    <t>תמיר עמיחי</t>
  </si>
  <si>
    <t>ברוק עלי</t>
  </si>
  <si>
    <t>אילת בן יעקב בשמת</t>
  </si>
  <si>
    <t>דגש אדיב</t>
  </si>
  <si>
    <t>עובדיה גבריאל</t>
  </si>
  <si>
    <t>שפירא ירון</t>
  </si>
  <si>
    <t>הראל ארנון</t>
  </si>
  <si>
    <t>נאמן גילה</t>
  </si>
  <si>
    <t>סבג יוסף</t>
  </si>
  <si>
    <t>קפלן-אדרי יעל סוניה</t>
  </si>
  <si>
    <t>כהן תמר</t>
  </si>
  <si>
    <t>מן ירדן סיגל</t>
  </si>
  <si>
    <t>תלמי יפתח-יעקב</t>
  </si>
  <si>
    <t>הכלכלית החדשה בראשות פרופסור ירון זליכה</t>
  </si>
  <si>
    <t>זליכה ירון</t>
  </si>
  <si>
    <t>תורגמן יצחק</t>
  </si>
  <si>
    <t>ווליבוביץ חביב</t>
  </si>
  <si>
    <t>לנגמן אופיר שי</t>
  </si>
  <si>
    <t>דביר עידו</t>
  </si>
  <si>
    <t>עדיקה עמרי</t>
  </si>
  <si>
    <t>ביטון שלום</t>
  </si>
  <si>
    <t>בורנשטיין הילה</t>
  </si>
  <si>
    <t>לזמי אליאן</t>
  </si>
  <si>
    <t>לשד הראל עמרם</t>
  </si>
  <si>
    <t>נקי סתיו</t>
  </si>
  <si>
    <t>שמיר אדר</t>
  </si>
  <si>
    <t>איחוד בני הברית – בראשות רב חובל בשארה שליאן</t>
  </si>
  <si>
    <t>שליאן בשארה</t>
  </si>
  <si>
    <t>בשרה סעיד</t>
  </si>
  <si>
    <t>בדג'ר סתיון ג'ון</t>
  </si>
  <si>
    <t>סכראן עמאד</t>
  </si>
  <si>
    <t>שחאדה עאדל</t>
  </si>
  <si>
    <t>מפלגת הגוש התנ"כי</t>
  </si>
  <si>
    <t>ליפקין דניס</t>
  </si>
  <si>
    <t>חוא חנא</t>
  </si>
  <si>
    <t>בר-נדר מיכאל יעקב</t>
  </si>
  <si>
    <t>פרידמן בנימין דוד</t>
  </si>
  <si>
    <t>לדניוב יאנה</t>
  </si>
  <si>
    <t>ריבקין מקסים</t>
  </si>
  <si>
    <t>ליפקין רחל</t>
  </si>
  <si>
    <t>קל בת</t>
  </si>
  <si>
    <t>צו השעה</t>
  </si>
  <si>
    <t>דוד חי אורי</t>
  </si>
  <si>
    <t>משה רונן</t>
  </si>
  <si>
    <t>דוד חי עדן</t>
  </si>
  <si>
    <t>אמר רועי</t>
  </si>
  <si>
    <t>בן זנו כפיר</t>
  </si>
  <si>
    <t>דוד חי רובין</t>
  </si>
  <si>
    <t>מזרחי יחזקאל</t>
  </si>
  <si>
    <t>מזרחי מזלה</t>
  </si>
  <si>
    <t>עוז דוד</t>
  </si>
  <si>
    <t>מנסור אורי</t>
  </si>
  <si>
    <t>גוריון בוריס</t>
  </si>
  <si>
    <t>המחנה הממלכתי בהנהגת בני גנץ לראשות הממשלה</t>
  </si>
  <si>
    <t>גנץ בנימין</t>
  </si>
  <si>
    <t>סער גדעון משה</t>
  </si>
  <si>
    <t>איזנקוט גד</t>
  </si>
  <si>
    <t>תמנו פנינה (פנחש)</t>
  </si>
  <si>
    <t>שאשא ביטון יפעת</t>
  </si>
  <si>
    <t>טרופר יחיאל משה</t>
  </si>
  <si>
    <t>אלקין זאב</t>
  </si>
  <si>
    <t>ביטון מיכאל מרדכי</t>
  </si>
  <si>
    <t>כהנא מתן</t>
  </si>
  <si>
    <t>פרקש-הכהן אורית</t>
  </si>
  <si>
    <t>השכל שרן מרים</t>
  </si>
  <si>
    <t>שוסטר אלון נתן</t>
  </si>
  <si>
    <t>בוסקילה מישל</t>
  </si>
  <si>
    <t>גינזבורג איתן</t>
  </si>
  <si>
    <t>רון בן משה יעל</t>
  </si>
  <si>
    <t>חסון אכרם</t>
  </si>
  <si>
    <t>יחזקאלי בליליוס ענבר</t>
  </si>
  <si>
    <t>הרוש גיטי עינבר</t>
  </si>
  <si>
    <t>מרעי מופיד</t>
  </si>
  <si>
    <t>וייזר דוברת</t>
  </si>
  <si>
    <t>קבילו גלעד יונתן</t>
  </si>
  <si>
    <t>וסרמן לנדה רות</t>
  </si>
  <si>
    <t>פינטו קדוש שירלי</t>
  </si>
  <si>
    <t>טל אלון ישראל</t>
  </si>
  <si>
    <t>יחיאב שלומי</t>
  </si>
  <si>
    <t>טל זהר</t>
  </si>
  <si>
    <t>אוליאל מלכה יהודית</t>
  </si>
  <si>
    <t>קיסר אלון</t>
  </si>
  <si>
    <t>זולדן שי</t>
  </si>
  <si>
    <t>לב-כהן מוניקה יעל</t>
  </si>
  <si>
    <t>הייב חסן</t>
  </si>
  <si>
    <t>דוד שי</t>
  </si>
  <si>
    <t>טמיר צילה</t>
  </si>
  <si>
    <t>עמר שרונה</t>
  </si>
  <si>
    <t>סופר דותן</t>
  </si>
  <si>
    <t>שושני אמיר</t>
  </si>
  <si>
    <t>אילוז עדיאל</t>
  </si>
  <si>
    <t>אליעזר אמיר</t>
  </si>
  <si>
    <t>בן קסוס אלגריה</t>
  </si>
  <si>
    <t>שביט תמר</t>
  </si>
  <si>
    <t>אבבה בגשאו דוד</t>
  </si>
  <si>
    <t>ארביב הילה</t>
  </si>
  <si>
    <t>קורטין אילנה</t>
  </si>
  <si>
    <t>סלימאן עאמר</t>
  </si>
  <si>
    <t>קידר לילי</t>
  </si>
  <si>
    <t>לוי מלכה מלי</t>
  </si>
  <si>
    <t>אלף רביב</t>
  </si>
  <si>
    <t>רודוניה ענת</t>
  </si>
  <si>
    <t>מנטבר נעה</t>
  </si>
  <si>
    <t>אבו עגאג חאלד</t>
  </si>
  <si>
    <t>שקד ישעיהו</t>
  </si>
  <si>
    <t>קהת סיני שאול</t>
  </si>
  <si>
    <t>חליבה טולדנו יניב משה</t>
  </si>
  <si>
    <t>אליאל שימי</t>
  </si>
  <si>
    <t>טביב רונית</t>
  </si>
  <si>
    <t>רוח ליעד</t>
  </si>
  <si>
    <t>לנציאנו מרדכי</t>
  </si>
  <si>
    <t>אסייג דוד</t>
  </si>
  <si>
    <t>שטראוכלר בת שבע</t>
  </si>
  <si>
    <t>גוטמן שטיינגולד אביבה</t>
  </si>
  <si>
    <t>בן יהודה דן</t>
  </si>
  <si>
    <t>אשכנזי טליה</t>
  </si>
  <si>
    <t>לוי ליאור</t>
  </si>
  <si>
    <t>חנני בועז</t>
  </si>
  <si>
    <t>קנפו גיא</t>
  </si>
  <si>
    <t>דרורי דוד</t>
  </si>
  <si>
    <t>מוסרי דרור</t>
  </si>
  <si>
    <t>קארו חיים</t>
  </si>
  <si>
    <t>ססי שמעון</t>
  </si>
  <si>
    <t>אלחייני מיכאל</t>
  </si>
  <si>
    <t>דור מיכל שרה</t>
  </si>
  <si>
    <t>טהור יוחאי יוריק</t>
  </si>
  <si>
    <t>לסטר יובל</t>
  </si>
  <si>
    <t>פקטור אילן שבתי</t>
  </si>
  <si>
    <t>מוזס אביב</t>
  </si>
  <si>
    <t>סוננזון זאב</t>
  </si>
  <si>
    <t>אבידור דניאל שמואל</t>
  </si>
  <si>
    <t>מי-און שחר</t>
  </si>
  <si>
    <t>גוטליב מיכאל</t>
  </si>
  <si>
    <t>הנדשר פרקש סיגלית</t>
  </si>
  <si>
    <t>שרייבר תורה</t>
  </si>
  <si>
    <t>זימבריס יוסף</t>
  </si>
  <si>
    <t>אבראמוב אלכסנדר</t>
  </si>
  <si>
    <t>פלר רונן דב</t>
  </si>
  <si>
    <t>ילינק אמיר</t>
  </si>
  <si>
    <t>הילמן הלל</t>
  </si>
  <si>
    <t>אבן זיו יגאל</t>
  </si>
  <si>
    <t>שבתאי אליהו</t>
  </si>
  <si>
    <t>צנקל אייל</t>
  </si>
  <si>
    <t>. גרשונוביץ יצחק הדר</t>
  </si>
  <si>
    <t>. נחמיאס חיים</t>
  </si>
  <si>
    <t>. וקנין אדיר</t>
  </si>
  <si>
    <t>וקנין איתמר</t>
  </si>
  <si>
    <t>יהודה איתמר</t>
  </si>
  <si>
    <t>דקל חיים</t>
  </si>
  <si>
    <t>שרייבר יורם</t>
  </si>
  <si>
    <t>בורגל גורג</t>
  </si>
  <si>
    <t>. חיימוביץ יניב</t>
  </si>
  <si>
    <t>חממה עובדיה</t>
  </si>
  <si>
    <t>אדרי ניצן</t>
  </si>
  <si>
    <t>ממן דוד</t>
  </si>
  <si>
    <t>. סגל אורית</t>
  </si>
  <si>
    <t>. גרסי יקיר</t>
  </si>
  <si>
    <t>דושניצקי יונתן</t>
  </si>
  <si>
    <t>אדרי משה מור</t>
  </si>
  <si>
    <t>טנא איר</t>
  </si>
  <si>
    <t>אבין עומרי</t>
  </si>
  <si>
    <t>בר עוז תןמר</t>
  </si>
  <si>
    <t>אדרי רזיאל אברהם</t>
  </si>
  <si>
    <t>יואל בר</t>
  </si>
  <si>
    <t>סלמן נופר</t>
  </si>
  <si>
    <t>קלמן גונן טוביה בנימין</t>
  </si>
  <si>
    <t>. קמינר נדב</t>
  </si>
  <si>
    <t>. דורי שרון</t>
  </si>
  <si>
    <t>. אמילוב מיכאל שוהם שחף</t>
  </si>
  <si>
    <t>. ברנס פייר</t>
  </si>
  <si>
    <t>. יצחק הלוי מאיר</t>
  </si>
  <si>
    <t>. שושני שמשון</t>
  </si>
  <si>
    <t>בגין זאב בנימין</t>
  </si>
  <si>
    <t>אני ואתה</t>
  </si>
  <si>
    <t>גלעדי אלון</t>
  </si>
  <si>
    <t>גלעדי ז'ולסון מאיה</t>
  </si>
  <si>
    <t>אגסי יוסף</t>
  </si>
  <si>
    <t>חגבי עדית</t>
  </si>
  <si>
    <t>גלעדי שי</t>
  </si>
  <si>
    <t>זלכה איציק</t>
  </si>
  <si>
    <t>אמויאל משה</t>
  </si>
  <si>
    <t>מנצר ג'פרי מייקל</t>
  </si>
  <si>
    <t>ישראל ביתנו בראשות אביגדור ליברמן</t>
  </si>
  <si>
    <t>ליברמן אביגדור</t>
  </si>
  <si>
    <t>פורר עודד</t>
  </si>
  <si>
    <t>סובה יבגני</t>
  </si>
  <si>
    <t>ניר שרון</t>
  </si>
  <si>
    <t>מלינובסקי קונין יוליה</t>
  </si>
  <si>
    <t>עמאר חמד</t>
  </si>
  <si>
    <t>קושניר אלכסנדר</t>
  </si>
  <si>
    <t>כהנא-פריאר-דרור בתיה</t>
  </si>
  <si>
    <t>שיין יוסף</t>
  </si>
  <si>
    <t>מגן תלם לימור</t>
  </si>
  <si>
    <t>ברדץ'-יאלוב אלינה</t>
  </si>
  <si>
    <t>רופא אופיר שרון אסתר</t>
  </si>
  <si>
    <t>בויאנגו סתו</t>
  </si>
  <si>
    <t>כהן אביב-חיים</t>
  </si>
  <si>
    <t>סנדלר דוד</t>
  </si>
  <si>
    <t>אורון-עזני מיכל</t>
  </si>
  <si>
    <t>יעקובוב מריה</t>
  </si>
  <si>
    <t>שמואלי גבי</t>
  </si>
  <si>
    <t>רובין סטיבן יעקב</t>
  </si>
  <si>
    <t>ברקן אילן יצחק</t>
  </si>
  <si>
    <t>בורוכוב יוסף</t>
  </si>
  <si>
    <t>זמור פרנקו כנרת אור</t>
  </si>
  <si>
    <t>הליכוד בהנהגת בנימין נתניהו לראשות הממשלה</t>
  </si>
  <si>
    <t>נתניהו בנימין</t>
  </si>
  <si>
    <t>לוין יריב גדעון</t>
  </si>
  <si>
    <t>כהן אליהו</t>
  </si>
  <si>
    <t>גלנט יואב</t>
  </si>
  <si>
    <t>אמסלם דוד</t>
  </si>
  <si>
    <t>אוחנה אמיר</t>
  </si>
  <si>
    <t>קיש יואב</t>
  </si>
  <si>
    <t>ברקת ניר</t>
  </si>
  <si>
    <t>רגב מרים</t>
  </si>
  <si>
    <t>זוהר מכלוף</t>
  </si>
  <si>
    <t>דיכטר אברהם משה</t>
  </si>
  <si>
    <t>כץ ישראל</t>
  </si>
  <si>
    <t>קרעי שלמה</t>
  </si>
  <si>
    <t>שיקלי עמיחי</t>
  </si>
  <si>
    <t>דנון דני בן יוסף</t>
  </si>
  <si>
    <t>סילמן עידית</t>
  </si>
  <si>
    <t>ביטן דוד</t>
  </si>
  <si>
    <t>אדלשטיין יולי יואל</t>
  </si>
  <si>
    <t>רביבו אליהו</t>
  </si>
  <si>
    <t>דיסטל אטבריאן גלית</t>
  </si>
  <si>
    <t>ואטורי ניסים</t>
  </si>
  <si>
    <t>דנינו שלום</t>
  </si>
  <si>
    <t>כץ חיים</t>
  </si>
  <si>
    <t>אקוניס אופיר</t>
  </si>
  <si>
    <t>גוטליב רויטל</t>
  </si>
  <si>
    <t>מלביצקי חנוך דב</t>
  </si>
  <si>
    <t>ביסמוט בעז</t>
  </si>
  <si>
    <t>סעדה משה</t>
  </si>
  <si>
    <t>דלל אליהו</t>
  </si>
  <si>
    <t>גמליאל דמרי גילה</t>
  </si>
  <si>
    <t>כץ אופיר</t>
  </si>
  <si>
    <t>בדרה גולן פלורה מאי</t>
  </si>
  <si>
    <t>אילוז דן אליהו יעקב</t>
  </si>
  <si>
    <t>קלנר אריאל</t>
  </si>
  <si>
    <t>עטייה חוה</t>
  </si>
  <si>
    <t>הלוי עמית</t>
  </si>
  <si>
    <t>מלקו צגה צגנש</t>
  </si>
  <si>
    <t>שקלים אושר</t>
  </si>
  <si>
    <t>שיטרית קטרין</t>
  </si>
  <si>
    <t>פסל משה</t>
  </si>
  <si>
    <t>גואטה ששון ששי</t>
  </si>
  <si>
    <t>בוארון אביחי אברהם</t>
  </si>
  <si>
    <t>עבד עפיף</t>
  </si>
  <si>
    <t>קטש שבתאי</t>
  </si>
  <si>
    <t>הנגבי צחי</t>
  </si>
  <si>
    <t>תדמור ארז</t>
  </si>
  <si>
    <t>ברק קרן</t>
  </si>
  <si>
    <t>שרון גלעד יהודה</t>
  </si>
  <si>
    <t>לוי אבקסיס אורלי</t>
  </si>
  <si>
    <t>דיין עוזי</t>
  </si>
  <si>
    <t>אוחנה דורית</t>
  </si>
  <si>
    <t>פייגלין משה זלמן</t>
  </si>
  <si>
    <t>שרן דוד עמיחי</t>
  </si>
  <si>
    <t>לסרי ליאור</t>
  </si>
  <si>
    <t>קצב ליאור</t>
  </si>
  <si>
    <t>מנע חיה</t>
  </si>
  <si>
    <t>גלילי שי</t>
  </si>
  <si>
    <t>מארק אוסנת הילה</t>
  </si>
  <si>
    <t>עיני יחזקאל</t>
  </si>
  <si>
    <t>חרךפ דור</t>
  </si>
  <si>
    <t>פוקס אברהם שלמה</t>
  </si>
  <si>
    <t>מסיקה גרשון</t>
  </si>
  <si>
    <t>קרא איוב</t>
  </si>
  <si>
    <t>מולא פטין</t>
  </si>
  <si>
    <t>טל יהונתן ברוך</t>
  </si>
  <si>
    <t>יברקן דסטה</t>
  </si>
  <si>
    <t>מועלם פליסיה פייגל</t>
  </si>
  <si>
    <t>כהן אדי</t>
  </si>
  <si>
    <t>פלוסקוב טלי</t>
  </si>
  <si>
    <t>. קורן נורית</t>
  </si>
  <si>
    <t>כרמי בוזגלו</t>
  </si>
  <si>
    <t>אפליצ'וק בוריס</t>
  </si>
  <si>
    <t>חסן-נחום פלר</t>
  </si>
  <si>
    <t>וידר יעקב</t>
  </si>
  <si>
    <t>פרחאת עטא</t>
  </si>
  <si>
    <t>. תאיה דימה</t>
  </si>
  <si>
    <t>מור דודו</t>
  </si>
  <si>
    <t>. הדר אביגדור</t>
  </si>
  <si>
    <t>. אלברט משה</t>
  </si>
  <si>
    <t>. שטרית יוחאי</t>
  </si>
  <si>
    <t>. קיסטר יוסף</t>
  </si>
  <si>
    <t>. נתח ברוך</t>
  </si>
  <si>
    <t>. אוחנה מאיר שמעון</t>
  </si>
  <si>
    <t>. מתנה יפרח</t>
  </si>
  <si>
    <t>. רייף מיכאל</t>
  </si>
  <si>
    <t>חדד אלון</t>
  </si>
  <si>
    <t>. בר גיל יעקב</t>
  </si>
  <si>
    <t>. אוחנה מאיר</t>
  </si>
  <si>
    <t>. דניאלי יצחק</t>
  </si>
  <si>
    <t>. מלמד יונתן גמליאל</t>
  </si>
  <si>
    <t>. לנקרי ציון</t>
  </si>
  <si>
    <t>. לסקר מרציאנו גוליאט</t>
  </si>
  <si>
    <t>. טימור אסתר</t>
  </si>
  <si>
    <t>. איגלר צבי</t>
  </si>
  <si>
    <t>. אלוש גבי גבריאל</t>
  </si>
  <si>
    <t>. בלומנטל נעמי</t>
  </si>
  <si>
    <t>. נאור נפתלי</t>
  </si>
  <si>
    <t>. נפרסטק נוף עקיבא</t>
  </si>
  <si>
    <t>. מסרי מרים</t>
  </si>
  <si>
    <t>. בן יוסף זאב</t>
  </si>
  <si>
    <t>. מעוז טובה</t>
  </si>
  <si>
    <t>. שפיגל חדוה</t>
  </si>
  <si>
    <t>. בן דוד זיוה</t>
  </si>
  <si>
    <t>. מתתיהו כוכבה</t>
  </si>
  <si>
    <t>. חבר אמנון</t>
  </si>
  <si>
    <t>איגלר דליה</t>
  </si>
  <si>
    <t>קליינר מיכאל</t>
  </si>
  <si>
    <t>מוטיאי דוד</t>
  </si>
  <si>
    <t>שמיר חיה</t>
  </si>
  <si>
    <t>ויניצקי אלחנן</t>
  </si>
  <si>
    <t>החרמוני בת שבע</t>
  </si>
  <si>
    <t>בוכניק אריאל</t>
  </si>
  <si>
    <t>שמרגד יעל</t>
  </si>
  <si>
    <t>פינברג צפורה</t>
  </si>
  <si>
    <t>אחימאיר יוסף דב</t>
  </si>
  <si>
    <t>נסים משה בנימין</t>
  </si>
  <si>
    <t>מרצ השמאל של ישראל בראשות זהבה גלאון</t>
  </si>
  <si>
    <t>גלאון זהבה</t>
  </si>
  <si>
    <t>רז מוסי</t>
  </si>
  <si>
    <t>רוזין מיכל</t>
  </si>
  <si>
    <t>סלאלחה עלי</t>
  </si>
  <si>
    <t>גולן יאיר</t>
  </si>
  <si>
    <t>לסקי שוץ גבריאלה</t>
  </si>
  <si>
    <t>הורוביץ ניצן</t>
  </si>
  <si>
    <t>אבו סיאם מאזן</t>
  </si>
  <si>
    <t>חאמד אומימה</t>
  </si>
  <si>
    <t>בדיר עאיד</t>
  </si>
  <si>
    <t>פיאסצקי מורג קטי</t>
  </si>
  <si>
    <t>שכטר עומר</t>
  </si>
  <si>
    <t>אופנהיימר יריב</t>
  </si>
  <si>
    <t>אורליק שאנה</t>
  </si>
  <si>
    <t>ביחובסקי אלירן אלאן</t>
  </si>
  <si>
    <t>רזניק תומר</t>
  </si>
  <si>
    <t>רייז איל</t>
  </si>
  <si>
    <t>ניר ענת</t>
  </si>
  <si>
    <t>ורטון לורה</t>
  </si>
  <si>
    <t>מטאנס אליאס</t>
  </si>
  <si>
    <t>הרוש אילנית</t>
  </si>
  <si>
    <t>טוקטלי אורן</t>
  </si>
  <si>
    <t>אגוזי שי</t>
  </si>
  <si>
    <t>זועבי עבד אלחלים</t>
  </si>
  <si>
    <t>סולל יפעת</t>
  </si>
  <si>
    <t>וינטראוב רונית</t>
  </si>
  <si>
    <t>בנדל אהוד</t>
  </si>
  <si>
    <t>גורפינקל שגית</t>
  </si>
  <si>
    <t>גרינצוויג אמילי</t>
  </si>
  <si>
    <t>חושן מרום בן</t>
  </si>
  <si>
    <t>טיטלבאום דוד גבריאל</t>
  </si>
  <si>
    <t>דרומי חכים תום</t>
  </si>
  <si>
    <t>הרסגור הנדין עילאי</t>
  </si>
  <si>
    <t>זבנר עפר</t>
  </si>
  <si>
    <t>כהן קטרון שי</t>
  </si>
  <si>
    <t>ברגמן אייל</t>
  </si>
  <si>
    <t>עובדיה עינת</t>
  </si>
  <si>
    <t>ערער שוש</t>
  </si>
  <si>
    <t>קרן שחר</t>
  </si>
  <si>
    <t>רגב מיכאל</t>
  </si>
  <si>
    <t>רוקח אוחיון סימי</t>
  </si>
  <si>
    <t>יחיא גמיל</t>
  </si>
  <si>
    <t>ברעם גיורא</t>
  </si>
  <si>
    <t>יעקבי ירון</t>
  </si>
  <si>
    <t>וולפסון ויויאנה לאה</t>
  </si>
  <si>
    <t>גרינצוויג שרה מרים</t>
  </si>
  <si>
    <t>יקיר רן</t>
  </si>
  <si>
    <t>זליכה יצחק צחי</t>
  </si>
  <si>
    <t>סלם חגית</t>
  </si>
  <si>
    <t>סלאלחה רביע</t>
  </si>
  <si>
    <t>דיאמנט עדית</t>
  </si>
  <si>
    <t>.זהר סל אבשלום</t>
  </si>
  <si>
    <t>אבירן נעמה</t>
  </si>
  <si>
    <t>לוטם שלומית</t>
  </si>
  <si>
    <t>הברמן אליעזר</t>
  </si>
  <si>
    <t>אלדר אורי</t>
  </si>
  <si>
    <t>חאמד עביר</t>
  </si>
  <si>
    <t>חסן נדין</t>
  </si>
  <si>
    <t>חתנאוי חנין</t>
  </si>
  <si>
    <t>טרי איריס</t>
  </si>
  <si>
    <t>מזרחי הספרי עדן</t>
  </si>
  <si>
    <t>סלאלחה היבה</t>
  </si>
  <si>
    <t>לוריא פרדס אייל</t>
  </si>
  <si>
    <t>עבד אל פתאח מוחמד</t>
  </si>
  <si>
    <t>עבדול רחמן מוסא</t>
  </si>
  <si>
    <t>פלאוט גיא</t>
  </si>
  <si>
    <t>צימרמן וינשטוק גלית</t>
  </si>
  <si>
    <t>סייד אחמד יוסף</t>
  </si>
  <si>
    <t>צרפתי דניאל</t>
  </si>
  <si>
    <t>סמארה מועתאז</t>
  </si>
  <si>
    <t>סטרקובסקי שילון שרה</t>
  </si>
  <si>
    <t>קורן מורן בן</t>
  </si>
  <si>
    <t>קרישק אריה מנדל</t>
  </si>
  <si>
    <t>עבדאללה רנין</t>
  </si>
  <si>
    <t>עאזם אלאא</t>
  </si>
  <si>
    <t>עדן מיכל</t>
  </si>
  <si>
    <t>נאש למעאן</t>
  </si>
  <si>
    <t>טנא איתן</t>
  </si>
  <si>
    <t>בן אברהם רעיה</t>
  </si>
  <si>
    <t>כיאל אמל</t>
  </si>
  <si>
    <t>ציון נעמי</t>
  </si>
  <si>
    <t>זועבי היא</t>
  </si>
  <si>
    <t>גילר עמיחי</t>
  </si>
  <si>
    <t>ח'ורי לטיפה</t>
  </si>
  <si>
    <t>חדיפי וליד</t>
  </si>
  <si>
    <t>סוכרין ליאור</t>
  </si>
  <si>
    <t>פלץ ניצן</t>
  </si>
  <si>
    <t>גורן תומר לואיס</t>
  </si>
  <si>
    <t>קשני שני דוד</t>
  </si>
  <si>
    <t>קשקוש חוסאם</t>
  </si>
  <si>
    <t>דה שליט אבנר</t>
  </si>
  <si>
    <t>זרטל עידית</t>
  </si>
  <si>
    <t>מיודובניק ראובן דן</t>
  </si>
  <si>
    <t>ספרן אליעזר</t>
  </si>
  <si>
    <t>סרור אליאס</t>
  </si>
  <si>
    <t>אפרתי עמירם</t>
  </si>
  <si>
    <t>זיו נטע</t>
  </si>
  <si>
    <t>ביזאוי צביה סלביה</t>
  </si>
  <si>
    <t>סילברמן סוזן אמי</t>
  </si>
  <si>
    <t>נשר דורון אשר</t>
  </si>
  <si>
    <t>רזניק רות חדוה</t>
  </si>
  <si>
    <t>ולדן צביה</t>
  </si>
  <si>
    <t>ולדן רפאל</t>
  </si>
  <si>
    <t>מורציאנו יוסף</t>
  </si>
  <si>
    <t>רשף צלי</t>
  </si>
  <si>
    <t>בן ראובן אייל</t>
  </si>
  <si>
    <t>סרטני אמירה</t>
  </si>
  <si>
    <t>וילן אבשלום</t>
  </si>
  <si>
    <t>אביטל קולט</t>
  </si>
  <si>
    <t>צוקר דוד</t>
  </si>
  <si>
    <t>מאור ענת</t>
  </si>
  <si>
    <t>צבן יאיר זלמן</t>
  </si>
  <si>
    <t>כהן רן</t>
  </si>
  <si>
    <t>גבארה חוסניה</t>
  </si>
  <si>
    <t>חזן שרה נעמי</t>
  </si>
  <si>
    <t>פריג' עיסאווי</t>
  </si>
  <si>
    <t>זנדברג תמר</t>
  </si>
  <si>
    <t>ביילין יוסף</t>
  </si>
  <si>
    <t>אורון חיים</t>
  </si>
  <si>
    <t>כבוד האדם, בראשות עו"ד ארקדי פוגץ'</t>
  </si>
  <si>
    <t>פוגץ ארקדי</t>
  </si>
  <si>
    <t>טוראל עמיחי</t>
  </si>
  <si>
    <t>ניאזוב רחמין</t>
  </si>
  <si>
    <t>פוגץ' יבגני</t>
  </si>
  <si>
    <t>משטלר שניאור זלמן</t>
  </si>
  <si>
    <t>אמירוב גבריאל</t>
  </si>
  <si>
    <t>סנדלר מנחם מנדל</t>
  </si>
  <si>
    <t>דניאל בדרי ניסן</t>
  </si>
  <si>
    <t>יליזרוב שלמה</t>
  </si>
  <si>
    <t>גורין יבגני</t>
  </si>
  <si>
    <t>קוליסניצ'נקו פיוטר</t>
  </si>
  <si>
    <t>ניאזוב עמנואל</t>
  </si>
  <si>
    <t>קוליסניצ'נקו טטיאנה</t>
  </si>
  <si>
    <t>ניאזוב טטיאנה</t>
  </si>
  <si>
    <t>מכטיפור לוי</t>
  </si>
  <si>
    <t>פוגץ מרגריטה</t>
  </si>
  <si>
    <t>נתיב – נחיה תמיד יחד בכבוד</t>
  </si>
  <si>
    <t>כהן איל</t>
  </si>
  <si>
    <t>מסאס אברהם</t>
  </si>
  <si>
    <t>גולדרייך יעקב גיל</t>
  </si>
  <si>
    <t>כהנא אפשרים ברוך</t>
  </si>
  <si>
    <t>פרידמן גילעד</t>
  </si>
  <si>
    <t>רובין נחמיה</t>
  </si>
  <si>
    <t>מוסטפא טארק</t>
  </si>
  <si>
    <t>זיגדון איריס חיה</t>
  </si>
  <si>
    <t>חן חני ורדה</t>
  </si>
  <si>
    <t>שושן דביר</t>
  </si>
  <si>
    <t>מפלגת שמע בראשות נפתלי גולדמן</t>
  </si>
  <si>
    <t>גולדמן נפתלי ברוך</t>
  </si>
  <si>
    <t>יעקבי נתנאל</t>
  </si>
  <si>
    <t>העצמאים החדשים בראשות יורם מועלמי</t>
  </si>
  <si>
    <t>מועלמי יורם</t>
  </si>
  <si>
    <t>ראש גיל</t>
  </si>
  <si>
    <t>ברקוביץ יחיאל מרים</t>
  </si>
  <si>
    <t>ברוך בני</t>
  </si>
  <si>
    <t>קלייסט מירב</t>
  </si>
  <si>
    <t>ברסקי מורנה איירין</t>
  </si>
  <si>
    <t>פלטנב בוריס</t>
  </si>
  <si>
    <t>דוידוביץ שמואל</t>
  </si>
  <si>
    <t>יש כיוון בראשות עמוס דב סילבר</t>
  </si>
  <si>
    <t>סילבר עמוס דב</t>
  </si>
  <si>
    <t>לוי לין</t>
  </si>
  <si>
    <t>בוגנים נופר-אנה</t>
  </si>
  <si>
    <t>תוהמי שמעון</t>
  </si>
  <si>
    <t>עברי אבישי</t>
  </si>
  <si>
    <t>פתאו מעיין</t>
  </si>
  <si>
    <t>וינוגרדוב נטליה</t>
  </si>
  <si>
    <t>בוגנים רן</t>
  </si>
  <si>
    <t>ירושלמי שובל חי</t>
  </si>
  <si>
    <t>"אנחנו" - בראשות עו"ד מוש חוג'ה</t>
  </si>
  <si>
    <t>חוג'ה מוש</t>
  </si>
  <si>
    <t>הלברטל דב</t>
  </si>
  <si>
    <t>בן שושן יוסף</t>
  </si>
  <si>
    <t>חיקה משה</t>
  </si>
  <si>
    <t>הרשימה הערבית המאוחדת</t>
  </si>
  <si>
    <t>עבאס מנסור</t>
  </si>
  <si>
    <t>טאהא ווליד</t>
  </si>
  <si>
    <t>אל הואשלה ואליד</t>
  </si>
  <si>
    <t>ח'טיב יאסין אימאן</t>
  </si>
  <si>
    <t>חוג'יראת יאסר</t>
  </si>
  <si>
    <t>מסרי עבד אל כרים</t>
  </si>
  <si>
    <t>אבו מדע'ם עטא</t>
  </si>
  <si>
    <t>אבו לבן אבראהים</t>
  </si>
  <si>
    <t>זועבי תייסיר</t>
  </si>
  <si>
    <t>סמארה סאמר</t>
  </si>
  <si>
    <t>אלחרומי יאסר</t>
  </si>
  <si>
    <t>זבידאת מוחמד</t>
  </si>
  <si>
    <t>הייב מוחמד</t>
  </si>
  <si>
    <t>אבו עגאג אחמד</t>
  </si>
  <si>
    <t>עתמה עבדו</t>
  </si>
  <si>
    <t>דראושה באסם</t>
  </si>
  <si>
    <t>ח'לאילי אקבאל</t>
  </si>
  <si>
    <t>ח'רוב עבדול האדי</t>
  </si>
  <si>
    <t>עבד אל רחמן אעידה</t>
  </si>
  <si>
    <t>חוסין נימר</t>
  </si>
  <si>
    <t>אעוויסאת והבה</t>
  </si>
  <si>
    <t>אבו מוך כרים</t>
  </si>
  <si>
    <t>סלימאן מהדי</t>
  </si>
  <si>
    <t>איוב ואיל</t>
  </si>
  <si>
    <t>הייב סולטאן</t>
  </si>
  <si>
    <t>חוסיין סאלח</t>
  </si>
  <si>
    <t>דהאמשה איהאב</t>
  </si>
  <si>
    <t>אבו קוידר סמיר</t>
  </si>
  <si>
    <t>אלסעודי בשיר</t>
  </si>
  <si>
    <t>עאזם סובחי</t>
  </si>
  <si>
    <t>אלקרם יוסף</t>
  </si>
  <si>
    <t>מנצור היתם</t>
  </si>
  <si>
    <t>מינאוי עלי</t>
  </si>
  <si>
    <t>חאג'מוחמד חמזה</t>
  </si>
  <si>
    <t>זיאדאת יוסף</t>
  </si>
  <si>
    <t>אבו געפר מוחמד</t>
  </si>
  <si>
    <t>אבו ריא ג'מאל</t>
  </si>
  <si>
    <t>עזאם עבד אל כרים</t>
  </si>
  <si>
    <t>אסעיד מחמוד</t>
  </si>
  <si>
    <t>מצארוה גמיל</t>
  </si>
  <si>
    <t>שיני יוסף</t>
  </si>
  <si>
    <t>זועבי מוחמד</t>
  </si>
  <si>
    <t>אבו פריח ג'האד</t>
  </si>
  <si>
    <t>חוסין אחמד</t>
  </si>
  <si>
    <t>שלבי עומר</t>
  </si>
  <si>
    <t>מוראד נאדיה</t>
  </si>
  <si>
    <t>פריג מוחמד</t>
  </si>
  <si>
    <t>דיאב מג'דוב מרים</t>
  </si>
  <si>
    <t>ריאן אבראהים</t>
  </si>
  <si>
    <t>טהה אמנה</t>
  </si>
  <si>
    <t>אלעוברה בילאל</t>
  </si>
  <si>
    <t>דראושה סמירה</t>
  </si>
  <si>
    <t>עאבד אחמד</t>
  </si>
  <si>
    <t>אל אטרש עבד אל כרים</t>
  </si>
  <si>
    <t>אלרמילי בסאם</t>
  </si>
  <si>
    <t>חג'אזי אנהאר</t>
  </si>
  <si>
    <t>אלטורה פאטמה</t>
  </si>
  <si>
    <t>מסארוה מוחמד</t>
  </si>
  <si>
    <t>חמדאן אמגד</t>
  </si>
  <si>
    <t>אלרמילי חאלד</t>
  </si>
  <si>
    <t>חיראללה נסרין</t>
  </si>
  <si>
    <t>גנאים ראפת</t>
  </si>
  <si>
    <t>דהאמשה אימאן</t>
  </si>
  <si>
    <t>אלעמור חליל</t>
  </si>
  <si>
    <t>חוסין עלי</t>
  </si>
  <si>
    <t>דיאב הודא</t>
  </si>
  <si>
    <t>ערבס חסאן</t>
  </si>
  <si>
    <t>אבו ג'עפר אבו סכות אריג</t>
  </si>
  <si>
    <t>דיאבאת סלאם</t>
  </si>
  <si>
    <t>דהאמשה נסים</t>
  </si>
  <si>
    <t>גדיר מוחמד</t>
  </si>
  <si>
    <t>אלעוברה דעא</t>
  </si>
  <si>
    <t>אל טורי איברהים</t>
  </si>
  <si>
    <t>דראושה מאי</t>
  </si>
  <si>
    <t>חג'אזי אשרף</t>
  </si>
  <si>
    <t>חמדון מונא</t>
  </si>
  <si>
    <t>אל צאנע סלמאן</t>
  </si>
  <si>
    <t>אלגמל עטללה</t>
  </si>
  <si>
    <t>בשארה בשיר</t>
  </si>
  <si>
    <t>אבו הדובה אמירה</t>
  </si>
  <si>
    <t>אבו עיד עולא</t>
  </si>
  <si>
    <t>אל עוברה חאלד</t>
  </si>
  <si>
    <t>מוראד יאזן</t>
  </si>
  <si>
    <t>בסל קאהר</t>
  </si>
  <si>
    <t>אשווי סאמי</t>
  </si>
  <si>
    <t>בדיר אסמא</t>
  </si>
  <si>
    <t>גאבר יזיד</t>
  </si>
  <si>
    <t>שיני רמדאן</t>
  </si>
  <si>
    <t>אלעוברה סלאח אלדין</t>
  </si>
  <si>
    <t>מחאמיד מוחמד</t>
  </si>
  <si>
    <t>שואהנה מועאז</t>
  </si>
  <si>
    <t>נאסר מחמוד</t>
  </si>
  <si>
    <t>אל צאנע אסמאעיל</t>
  </si>
  <si>
    <t>אבו ריאש סולטאנה</t>
  </si>
  <si>
    <t>חיר אללה אברהים</t>
  </si>
  <si>
    <t>בדראן גנאן</t>
  </si>
  <si>
    <t>אלעוברה מוסא</t>
  </si>
  <si>
    <t>אל עברה פארס</t>
  </si>
  <si>
    <t>אבן ברי עבדול רחמן</t>
  </si>
  <si>
    <t>מועד סלאח אל דין</t>
  </si>
  <si>
    <t>מצרי אמין</t>
  </si>
  <si>
    <t>אלעברה זקי</t>
  </si>
  <si>
    <t>סאלח מחמוד</t>
  </si>
  <si>
    <t>סואעד איאד</t>
  </si>
  <si>
    <t>אלעוברה תאיר</t>
  </si>
  <si>
    <t>מועד חסן</t>
  </si>
  <si>
    <t>חוג'יראת אדהם</t>
  </si>
  <si>
    <t>עמאש פתחי</t>
  </si>
  <si>
    <t>עמאש סאד</t>
  </si>
  <si>
    <t>חביבאללה סאמי</t>
  </si>
  <si>
    <t>סואעד עפיף</t>
  </si>
  <si>
    <t>מרעי חסן</t>
  </si>
  <si>
    <t>הניה איכלאס</t>
  </si>
  <si>
    <t>אבו עראר עדלי</t>
  </si>
  <si>
    <t>יאסין מוחמד</t>
  </si>
  <si>
    <t>אבו עראר טלב</t>
  </si>
  <si>
    <t>זכור עבאס</t>
  </si>
  <si>
    <t>דהאמשה עבד אלמאלכ</t>
  </si>
  <si>
    <t>צרצור אברהים</t>
  </si>
  <si>
    <t>גנאים מאזן</t>
  </si>
  <si>
    <t>יש עתיד בראשות יאיר לפיד</t>
  </si>
  <si>
    <t>יאיר לפיד</t>
  </si>
  <si>
    <t>ברביבאי אורנה</t>
  </si>
  <si>
    <t>כהן מאיר</t>
  </si>
  <si>
    <t>אלהרר הרטשטיין קארין</t>
  </si>
  <si>
    <t>כהן מירב</t>
  </si>
  <si>
    <t>רזבוזוב יואל</t>
  </si>
  <si>
    <t>שטרן אלעזר</t>
  </si>
  <si>
    <t>לוי מיקי</t>
  </si>
  <si>
    <t>בן ארי מירב</t>
  </si>
  <si>
    <t>בן ברק רם</t>
  </si>
  <si>
    <t>סגלוביץ יואב</t>
  </si>
  <si>
    <t>טופורובסקי בועז</t>
  </si>
  <si>
    <t>.שיר סגמן מיכל</t>
  </si>
  <si>
    <t>רול עדן</t>
  </si>
  <si>
    <t>להב הרצנו יוראי</t>
  </si>
  <si>
    <t>.בליאק ולדימיר</t>
  </si>
  <si>
    <t>כץ רון</t>
  </si>
  <si>
    <t>.צרפתי הרכבי מטי</t>
  </si>
  <si>
    <t>.מזרסקי טטיאנה</t>
  </si>
  <si>
    <t>פרידמן יסמין</t>
  </si>
  <si>
    <t>ביטון דבורה</t>
  </si>
  <si>
    <t>טור-פז משה יהודה</t>
  </si>
  <si>
    <t>דוידסון סימון</t>
  </si>
  <si>
    <t>שירי נאור</t>
  </si>
  <si>
    <t>מירון שלי</t>
  </si>
  <si>
    <t>לוי ירון עמוס</t>
  </si>
  <si>
    <t>עזוז עדי עליזה</t>
  </si>
  <si>
    <t>חיים עוז</t>
  </si>
  <si>
    <t>אבו אל היג'א מוחמד</t>
  </si>
  <si>
    <t>סלבני כבביה מיכל</t>
  </si>
  <si>
    <t>איריש מלכאי רוני</t>
  </si>
  <si>
    <t>וינר תומר</t>
  </si>
  <si>
    <t>ארנפרוינד רונית</t>
  </si>
  <si>
    <t>עבו שגית</t>
  </si>
  <si>
    <t>גול חנה</t>
  </si>
  <si>
    <t>צוקרמן חטואל לידיה</t>
  </si>
  <si>
    <t>גזית אילן</t>
  </si>
  <si>
    <t>דה לנגי יעל</t>
  </si>
  <si>
    <t>שוייצר הדר</t>
  </si>
  <si>
    <t>מגרה טל</t>
  </si>
  <si>
    <t>רשף פלג</t>
  </si>
  <si>
    <t>שאשא שי-לי</t>
  </si>
  <si>
    <t>אבקסיס שירן</t>
  </si>
  <si>
    <t>גור כהן דלית</t>
  </si>
  <si>
    <t>דוד רואי</t>
  </si>
  <si>
    <t>לנדמן זהבה</t>
  </si>
  <si>
    <t>אוקמן ירדנה</t>
  </si>
  <si>
    <t>דקל יצחק צחי</t>
  </si>
  <si>
    <t>אלבו מיכל</t>
  </si>
  <si>
    <t>פדה צור דורון</t>
  </si>
  <si>
    <t>קאסם איברהים</t>
  </si>
  <si>
    <t>יובל רונית</t>
  </si>
  <si>
    <t>כהן אסתר</t>
  </si>
  <si>
    <t>לוטן שמרי</t>
  </si>
  <si>
    <t>פריבר שלומית</t>
  </si>
  <si>
    <t>קגן פבל</t>
  </si>
  <si>
    <t>.זנקו אברהם אורי</t>
  </si>
  <si>
    <t>שני אורית</t>
  </si>
  <si>
    <t>גורין מיכאל</t>
  </si>
  <si>
    <t>גרבינר כרמלה</t>
  </si>
  <si>
    <t>טופז נורית</t>
  </si>
  <si>
    <t>ורהפטיג זיו</t>
  </si>
  <si>
    <t>גובזה דמוז</t>
  </si>
  <si>
    <t>גוילי זוהר</t>
  </si>
  <si>
    <t>זיוון ליאור</t>
  </si>
  <si>
    <t>שטרלינג פלורי</t>
  </si>
  <si>
    <t>קטילאת רולין</t>
  </si>
  <si>
    <t>.סגל איילת</t>
  </si>
  <si>
    <t>.לוי שרה שירה</t>
  </si>
  <si>
    <t>.רוזן דב</t>
  </si>
  <si>
    <t>אמיר ורד</t>
  </si>
  <si>
    <t>בר מאיר תמר</t>
  </si>
  <si>
    <t>רם יותם</t>
  </si>
  <si>
    <t>בן גדעון תמי</t>
  </si>
  <si>
    <t>גרינפילד גילת יהודה</t>
  </si>
  <si>
    <t>גוניקמן יובב</t>
  </si>
  <si>
    <t>פרדו ביטון ספיר</t>
  </si>
  <si>
    <t>פרץ טלי</t>
  </si>
  <si>
    <t>ויין אנדראה</t>
  </si>
  <si>
    <t>ירדני יוסף</t>
  </si>
  <si>
    <t>משען נתנאל ליעד</t>
  </si>
  <si>
    <t>ירון פנחס</t>
  </si>
  <si>
    <t>שרגל ארנינה</t>
  </si>
  <si>
    <t>לורבר ורדי יובל</t>
  </si>
  <si>
    <t>מזרחי ברכה</t>
  </si>
  <si>
    <t>שאול מזל</t>
  </si>
  <si>
    <t>קוברינסקי-בן צבי אורלי</t>
  </si>
  <si>
    <t>לייבוביץ ישראל</t>
  </si>
  <si>
    <t>קוניק-הופמן גלית</t>
  </si>
  <si>
    <t>קוגוס אביבה</t>
  </si>
  <si>
    <t>אפלבוים אילן</t>
  </si>
  <si>
    <t>הראל תומר</t>
  </si>
  <si>
    <t>שיטרית עמית</t>
  </si>
  <si>
    <t>דוידוביץ ערן</t>
  </si>
  <si>
    <t>היישריק עליס</t>
  </si>
  <si>
    <t>קולודרו גבריאל</t>
  </si>
  <si>
    <t>די סגני יערה ימית חנה</t>
  </si>
  <si>
    <t>.פוקר קוברינסקי לימור</t>
  </si>
  <si>
    <t>סגל הדר</t>
  </si>
  <si>
    <t>עובדיה עמית ישראל</t>
  </si>
  <si>
    <t>ברוך עדן</t>
  </si>
  <si>
    <t>גרינשפון שרי גלית</t>
  </si>
  <si>
    <t>אסרף-לוי שרית</t>
  </si>
  <si>
    <t>סברינסקי דלית</t>
  </si>
  <si>
    <t>אבינועם אפרתי מי גל</t>
  </si>
  <si>
    <t>גבע רחל</t>
  </si>
  <si>
    <t>פורתי נעומי</t>
  </si>
  <si>
    <t>פרי-סעדה אילה</t>
  </si>
  <si>
    <t>ליברמן שי אליהו</t>
  </si>
  <si>
    <t>רודוי שרונה</t>
  </si>
  <si>
    <t>הויגר טל</t>
  </si>
  <si>
    <t>בלייברג בתיה</t>
  </si>
  <si>
    <t>קלריך ילי</t>
  </si>
  <si>
    <t>בולקובשטיין שולמית</t>
  </si>
  <si>
    <t>ריפל עליזה</t>
  </si>
  <si>
    <t>נמימי מומי-משה</t>
  </si>
  <si>
    <t>ויינשטיין דבורה</t>
  </si>
  <si>
    <t>סומק רוני</t>
  </si>
  <si>
    <t>רשימת הפיראטים - הכי טוב לדעתי אני רוצה להיות שם</t>
  </si>
  <si>
    <t>כוזר ויסגרבר נועם</t>
  </si>
  <si>
    <t>שם טוב אוהד יעקב</t>
  </si>
  <si>
    <t>קלייטמן רועי אברהם</t>
  </si>
  <si>
    <t>זין מרון רמי</t>
  </si>
  <si>
    <t>מזרחי ליאור</t>
  </si>
  <si>
    <t>גרדשטיין שרון</t>
  </si>
  <si>
    <t>מלטין לידיה</t>
  </si>
  <si>
    <t>גולדשטיין קיט לורנס</t>
  </si>
  <si>
    <t>יסוד חגי</t>
  </si>
  <si>
    <t>רומנו נתנאל</t>
  </si>
  <si>
    <t>כוזר ויסגרבר יוסף</t>
  </si>
  <si>
    <t>גרין איתי גבריאל</t>
  </si>
  <si>
    <t>חלמיש אהוד שחר</t>
  </si>
  <si>
    <t>בירון דן</t>
  </si>
  <si>
    <t>צעירים בוערים בהנהגת הדר מוכתר</t>
  </si>
  <si>
    <t>חזן בת אל</t>
  </si>
  <si>
    <t>יניבי נתנאל</t>
  </si>
  <si>
    <t>כהנוביץ רחל</t>
  </si>
  <si>
    <t>צפניה שחר אחיקם</t>
  </si>
  <si>
    <t>קלישר עמרי</t>
  </si>
  <si>
    <t>פרץ שלומי</t>
  </si>
  <si>
    <t>מנהיגות חברתית</t>
  </si>
  <si>
    <t>יר-זנבר אילן משיחא</t>
  </si>
  <si>
    <t>כחלון שקד</t>
  </si>
  <si>
    <t>לוי בן ציון</t>
  </si>
  <si>
    <t>פסח אליוסף יהודה</t>
  </si>
  <si>
    <t>בונפיס משה</t>
  </si>
  <si>
    <t>קול הסביבה והחי</t>
  </si>
  <si>
    <t>בן עמי דרור</t>
  </si>
  <si>
    <t>הורם רחל ענת</t>
  </si>
  <si>
    <t>דגן צבי</t>
  </si>
  <si>
    <t>גבאי-חיטריק יעל חנה</t>
  </si>
  <si>
    <t>קינן עודד</t>
  </si>
  <si>
    <t>רוזן ירדן</t>
  </si>
  <si>
    <t>הלב היהודי בראשות אלי יוסף</t>
  </si>
  <si>
    <t>יוסף אלי</t>
  </si>
  <si>
    <t>טאייה בלאיינש חני</t>
  </si>
  <si>
    <t>ברהה אלמז</t>
  </si>
  <si>
    <t>עתאלי פרג</t>
  </si>
  <si>
    <t>אדלר עמית</t>
  </si>
  <si>
    <t>סדר חדש - למען האזרחים הוותיקים בישראל</t>
  </si>
  <si>
    <t>אופק אביטל חי</t>
  </si>
  <si>
    <t>בטיטו דניאל</t>
  </si>
  <si>
    <t>ספדיה פרחה</t>
  </si>
  <si>
    <t>צירקינד ישעיהו ברוך</t>
  </si>
  <si>
    <t>קוטאי לימור נועה</t>
  </si>
  <si>
    <t>קוין פאולה</t>
  </si>
  <si>
    <t>רוזן אסתר</t>
  </si>
  <si>
    <t>הראל אופיר</t>
  </si>
  <si>
    <t>כל קול קובע נועם קולמן ולירון עופרי לראשות הממשלה</t>
  </si>
  <si>
    <t>קולמן נועם אריה</t>
  </si>
  <si>
    <t>עופרי לירון</t>
  </si>
  <si>
    <t>באומץ בשבילך</t>
  </si>
  <si>
    <t>גרנות צבי</t>
  </si>
  <si>
    <t>שחר אמיר</t>
  </si>
  <si>
    <t>כהן פרירא לימור</t>
  </si>
  <si>
    <t>אלמן אלונה</t>
  </si>
  <si>
    <t>נווה אלה</t>
  </si>
  <si>
    <t>ממם מישר דוד נסים</t>
  </si>
  <si>
    <t>אברבוך שירה דנה</t>
  </si>
  <si>
    <t>נלין ולנטינה</t>
  </si>
  <si>
    <t>אשטון גולן</t>
  </si>
  <si>
    <t>הרן מיכל צפורה</t>
  </si>
  <si>
    <t>קרוננברג מורן</t>
  </si>
  <si>
    <t>יעקב וורקנש זהבה</t>
  </si>
  <si>
    <t>ארגמן ענת</t>
  </si>
  <si>
    <t>כהן אלון סופי</t>
  </si>
  <si>
    <t>רשימת שלושים/ארבעים בראשות סטלה ויינשטיין</t>
  </si>
  <si>
    <t>שנקל ויינשטיין סטלה</t>
  </si>
  <si>
    <t>כרמלי בן דוב</t>
  </si>
  <si>
    <t>אברמוב ימית</t>
  </si>
  <si>
    <t>כנרי יונתן</t>
  </si>
  <si>
    <t>חסון שירי נועה</t>
  </si>
  <si>
    <t>עטיה רז</t>
  </si>
  <si>
    <t>אהרוני לאה</t>
  </si>
  <si>
    <t>קוגמן משה</t>
  </si>
  <si>
    <t>ברגר שכטר רחל ראיסה</t>
  </si>
  <si>
    <t>חיימוב יוסף</t>
  </si>
  <si>
    <t>לוי אורית</t>
  </si>
  <si>
    <t>לבנזון יוסף</t>
  </si>
  <si>
    <t>נמירובסקי מיכל</t>
  </si>
  <si>
    <t>לוי עופר צבי</t>
  </si>
  <si>
    <t>לוגסי רוני</t>
  </si>
  <si>
    <t>כלב ארז</t>
  </si>
  <si>
    <t>התאחדות הספרדים שומרי תורה תנועתו של מרן הרב עובדיה יוסף זצ"ל</t>
  </si>
  <si>
    <t>דרעי אריה מכלוף</t>
  </si>
  <si>
    <t>מרגי יעקב</t>
  </si>
  <si>
    <t>בן צור יואב</t>
  </si>
  <si>
    <t>מלכיאלי מיכאל משה</t>
  </si>
  <si>
    <t>ביטון חיים</t>
  </si>
  <si>
    <t>ארבל משה</t>
  </si>
  <si>
    <t>אזולאי ינון</t>
  </si>
  <si>
    <t>אבוטבול משה</t>
  </si>
  <si>
    <t>בוסו אוריאל מנחם</t>
  </si>
  <si>
    <t>טייב יוסף</t>
  </si>
  <si>
    <t>בצלאל אברהם בניהו</t>
  </si>
  <si>
    <t>מישרקי יונתן</t>
  </si>
  <si>
    <t>חיאק נתנאל אפרים</t>
  </si>
  <si>
    <t>מלול ארז</t>
  </si>
  <si>
    <t>מושיאשוילי סימיון</t>
  </si>
  <si>
    <t>גלנט מאיר יוסף</t>
  </si>
  <si>
    <t>צדקה יעקב ישראל</t>
  </si>
  <si>
    <t>מתתיהו טל</t>
  </si>
  <si>
    <t>נהרי אשר</t>
  </si>
  <si>
    <t>קייקוב משה</t>
  </si>
  <si>
    <t>בוטבול יהודה</t>
  </si>
  <si>
    <t>עוביידי יהודה</t>
  </si>
  <si>
    <t>אלנתן נתן</t>
  </si>
  <si>
    <t>סברלי חיים</t>
  </si>
  <si>
    <t>זבולון אלחנן</t>
  </si>
  <si>
    <t>כהן נפתלי</t>
  </si>
  <si>
    <t>חדאד חגי</t>
  </si>
  <si>
    <t>כהן אריה</t>
  </si>
  <si>
    <t>כהן רפאל</t>
  </si>
  <si>
    <t>כהן בן חיים מאיר</t>
  </si>
  <si>
    <t>עזרן שלמה</t>
  </si>
  <si>
    <t>צרויה יחיאל</t>
  </si>
  <si>
    <t>אנקונינה אלי</t>
  </si>
  <si>
    <t>וקנין יחיאל</t>
  </si>
  <si>
    <t>אלמלח יצחק</t>
  </si>
  <si>
    <t>אשש מאור מאיר</t>
  </si>
  <si>
    <t>ביטון בועז דוד</t>
  </si>
  <si>
    <t>פרץ שלמה נתנאל</t>
  </si>
  <si>
    <t>מעלמי יעקב</t>
  </si>
  <si>
    <t>מרציאנו יעקב דוד</t>
  </si>
  <si>
    <t>חיים יהודה</t>
  </si>
  <si>
    <t>איפרגן ישראל</t>
  </si>
  <si>
    <t>אסולין צבי</t>
  </si>
  <si>
    <t>ועקנין משה</t>
  </si>
  <si>
    <t>זכריהו יעקב אברהם</t>
  </si>
  <si>
    <t>כרדי עופר</t>
  </si>
  <si>
    <t>חדד יגאל דרור</t>
  </si>
  <si>
    <t>אלמלח משה</t>
  </si>
  <si>
    <t>טקטוק דורון שושן</t>
  </si>
  <si>
    <t>לחיאני נהוראי</t>
  </si>
  <si>
    <t>לביא ניסן</t>
  </si>
  <si>
    <t>מרציאנו שמואל</t>
  </si>
  <si>
    <t>סויונוב שלמה זלמן</t>
  </si>
  <si>
    <t>רבוך יעקב ישראל</t>
  </si>
  <si>
    <t>רמתי ישראל עזרי</t>
  </si>
  <si>
    <t>שוקר אשר</t>
  </si>
  <si>
    <t>בן שושן ישראל</t>
  </si>
  <si>
    <t>אמסילי חיים</t>
  </si>
  <si>
    <t>אלפלס נתנאל</t>
  </si>
  <si>
    <t>בואהרון עדיאל משה קרוף</t>
  </si>
  <si>
    <t>זיגדון חנן גבי</t>
  </si>
  <si>
    <t>פרטוש אברהם</t>
  </si>
  <si>
    <t>רואש מאיר</t>
  </si>
  <si>
    <t>כהן ישי</t>
  </si>
  <si>
    <t>אמרון חיים</t>
  </si>
  <si>
    <t>ברנס מאיר דוד</t>
  </si>
  <si>
    <t>דנינו יהודה</t>
  </si>
  <si>
    <t>דדון שלום אלירם</t>
  </si>
  <si>
    <t>תורגמן יוסף</t>
  </si>
  <si>
    <t>בלחסן שלמה</t>
  </si>
  <si>
    <t>גבאי אלי</t>
  </si>
  <si>
    <t>פנחס מאיר ישראל</t>
  </si>
  <si>
    <t>קבסה שלום מאיר</t>
  </si>
  <si>
    <t>ישראלי יהודה אליהו</t>
  </si>
  <si>
    <t>חופי עקיבא</t>
  </si>
  <si>
    <t>מור יוסף נתנאל</t>
  </si>
  <si>
    <t>משיח נתאי משה</t>
  </si>
  <si>
    <t>שניאור ישראל</t>
  </si>
  <si>
    <t>שקד יוסף חיים</t>
  </si>
  <si>
    <t>ילין יהונתן</t>
  </si>
  <si>
    <t>לופס דניאל</t>
  </si>
  <si>
    <t>אביטן אליהו</t>
  </si>
  <si>
    <t>גולן אריאל יקותיאל</t>
  </si>
  <si>
    <t>לוי יוסף</t>
  </si>
  <si>
    <t>עמר מאיר</t>
  </si>
  <si>
    <t>עמרם אברהם</t>
  </si>
  <si>
    <t>שליט גולן</t>
  </si>
  <si>
    <t>שבתי ישראל</t>
  </si>
  <si>
    <t>בן חמו דניאל</t>
  </si>
  <si>
    <t>בן נאים משה</t>
  </si>
  <si>
    <t>גגי עתניאל</t>
  </si>
  <si>
    <t>סויסה גבריאל</t>
  </si>
  <si>
    <t>בן נאים שמעון</t>
  </si>
  <si>
    <t>אשר בנימין אריאל</t>
  </si>
  <si>
    <t>ברמוחא מרדכי</t>
  </si>
  <si>
    <t>דדון שמואל</t>
  </si>
  <si>
    <t>הררי אריאל</t>
  </si>
  <si>
    <t>שושן אליהו ישראל</t>
  </si>
  <si>
    <t>גולן גמליאל גילי</t>
  </si>
  <si>
    <t>וטורי רועי רחמים</t>
  </si>
  <si>
    <t>הררי רפול יהודה מנחם</t>
  </si>
  <si>
    <t>לסרי שמואל יוסף</t>
  </si>
  <si>
    <t>מויאל יעקב שי</t>
  </si>
  <si>
    <t>אדרי יצחק שלמה</t>
  </si>
  <si>
    <t>ניאזוף יוסף</t>
  </si>
  <si>
    <t>סלטון יוסף</t>
  </si>
  <si>
    <t>לאורי מאור חיים</t>
  </si>
  <si>
    <t>סבאג יורם</t>
  </si>
  <si>
    <t>בלחסן דוד</t>
  </si>
  <si>
    <t>בן אברהם אבי</t>
  </si>
  <si>
    <t>לוי משה שלום</t>
  </si>
  <si>
    <t>בוטה יהוידע</t>
  </si>
  <si>
    <t>פנחסי אליהו</t>
  </si>
  <si>
    <t>ישראלוב אליה ישי</t>
  </si>
  <si>
    <t>כהן אברהם</t>
  </si>
  <si>
    <t>בלעיש אשר</t>
  </si>
  <si>
    <t>בן אברהם חיים</t>
  </si>
  <si>
    <t>קלפון משה</t>
  </si>
  <si>
    <t>בעדני חיים אהרון</t>
  </si>
  <si>
    <t>דעת טוב ורע וברית שבט אברהם-עלה ירוק ואוסרת אל איסלמיה</t>
  </si>
  <si>
    <t>עוזר דקל חץ-דוד</t>
  </si>
  <si>
    <t>שביטה כארם</t>
  </si>
  <si>
    <t>אונימה שושה אפרת</t>
  </si>
  <si>
    <t>משורי דניאל חיים</t>
  </si>
  <si>
    <t>סואעד איה</t>
  </si>
  <si>
    <t>שפירא לוי חן</t>
  </si>
  <si>
    <t>אבלסון קנדי אליסה</t>
  </si>
  <si>
    <t>חמאד פראס</t>
  </si>
  <si>
    <t>כהן אדיב</t>
  </si>
  <si>
    <t>בן חרות בן</t>
  </si>
  <si>
    <t>זהר מיכל</t>
  </si>
  <si>
    <t>אבי יצחק דנה ג'ון</t>
  </si>
  <si>
    <t>רודה נעם</t>
  </si>
  <si>
    <t>אננדה מא נית'יה ג'נני</t>
  </si>
  <si>
    <t>ירושלמי דותן משה</t>
  </si>
  <si>
    <t>קדישא אדיר</t>
  </si>
  <si>
    <t>מגדר</t>
  </si>
  <si>
    <t>נ</t>
  </si>
  <si>
    <t>ז</t>
  </si>
  <si>
    <t>ברוך רון מהרטיה</t>
  </si>
  <si>
    <t>אוחנה דוד</t>
  </si>
  <si>
    <t>אלקיים עופר</t>
  </si>
  <si>
    <t>תומא סלימאן עאידה</t>
  </si>
  <si>
    <t>עטאונה יוסף</t>
  </si>
  <si>
    <t>קעדאן איעתמאד</t>
  </si>
  <si>
    <t>ושאחי נהאיה</t>
  </si>
  <si>
    <t>נערה טבעוני פידא</t>
  </si>
  <si>
    <t>חמרשי בלאל</t>
  </si>
  <si>
    <t>ואכד עומר</t>
  </si>
  <si>
    <t>???</t>
  </si>
  <si>
    <t>לא יודעת</t>
  </si>
  <si>
    <t>?</t>
  </si>
  <si>
    <t>פוקר קוברינסקי לימור</t>
  </si>
  <si>
    <t>מנדטים בסקר</t>
  </si>
  <si>
    <t>ישראל ביתינו</t>
  </si>
  <si>
    <t>המחנה הממלכתי</t>
  </si>
  <si>
    <t>יש עתיד</t>
  </si>
  <si>
    <t>חדש-תע"ל</t>
  </si>
  <si>
    <t>ממוצע המדד (סקר)</t>
  </si>
  <si>
    <t>מעוגל</t>
  </si>
  <si>
    <t>מנדטים צפויים (סופי)</t>
  </si>
  <si>
    <t>בל"ד</t>
  </si>
  <si>
    <t>רשימה ערבית מאוחדת</t>
  </si>
  <si>
    <t>הציבור החרדי</t>
  </si>
  <si>
    <t>נעם לישראל</t>
  </si>
  <si>
    <t>ודאות/מקור</t>
  </si>
  <si>
    <t>נפתלי בנט</t>
  </si>
  <si>
    <t>רשימה רשמית שהוצגה בכנס משותף של בנט ולפיד (6.9.2026)</t>
  </si>
  <si>
    <t>קרן טרנר</t>
  </si>
  <si>
    <t>מירב בן ארי</t>
  </si>
  <si>
    <t>לירן אבישר בן חורין</t>
  </si>
  <si>
    <t>נעם תיבון</t>
  </si>
  <si>
    <t>מיכל הירש נגרי</t>
  </si>
  <si>
    <t>איתן גינזבורג</t>
  </si>
  <si>
    <t>מירב כהן</t>
  </si>
  <si>
    <t>יונתן שלו</t>
  </si>
  <si>
    <t>ברוריה נעים ארמן</t>
  </si>
  <si>
    <t>רם בן ברק</t>
  </si>
  <si>
    <t>אמיר סטרוגו</t>
  </si>
  <si>
    <t>נאור שירי</t>
  </si>
  <si>
    <t>ניסן זאבי</t>
  </si>
  <si>
    <t>ולדימיר בליאק</t>
  </si>
  <si>
    <t>אורלי אלידן-הראל</t>
  </si>
  <si>
    <t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</si>
  <si>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>יוראי להב הרצנו</t>
  </si>
  <si>
    <t>שחר ורון</t>
  </si>
  <si>
    <t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</si>
  <si>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>יסמין סאקס פרידמן</t>
  </si>
  <si>
    <t>אסתי אילון קובו</t>
  </si>
  <si>
    <t>נטע אטיאס</t>
  </si>
  <si>
    <t>ג'רמי סולטן</t>
  </si>
  <si>
    <t>משה (קינלי) טור-פז</t>
  </si>
  <si>
    <t>צבי פלוטניצקי</t>
  </si>
  <si>
    <t>אוליסיה קנטור</t>
  </si>
  <si>
    <t>יאיר גולן</t>
  </si>
  <si>
    <t>רשימה רשמית (democrats.org.il/team, נשלף 5.8.2026) - יו"ר המפלגה</t>
  </si>
  <si>
    <t>נעמה לזימי</t>
  </si>
  <si>
    <t>רשימה רשמית (democrats.org.il/team, נשלף 5.8.2026)</t>
  </si>
  <si>
    <t>גלעד קריב</t>
  </si>
  <si>
    <t>אפרת רייטן</t>
  </si>
  <si>
    <t>יאיר פינק</t>
  </si>
  <si>
    <t>גבי לסקי</t>
  </si>
  <si>
    <t>עמרי רונן</t>
  </si>
  <si>
    <t>מיכל רוזין</t>
  </si>
  <si>
    <t>משה רדמן אבוטבול</t>
  </si>
  <si>
    <t>סומיה בשיר</t>
  </si>
  <si>
    <t>נמרוד שפר</t>
  </si>
  <si>
    <t>מורן זר קצנשטיין</t>
  </si>
  <si>
    <t>אבי דבוש</t>
  </si>
  <si>
    <t xml:space="preserve">רשימה רשמית (democrats.org.il/team, נשלף 5.8.2026) </t>
  </si>
  <si>
    <t>אמילי מואטי</t>
  </si>
  <si>
    <t>תומר אביטל</t>
  </si>
  <si>
    <t>נאווה רוזוליו</t>
  </si>
  <si>
    <t>רם שפע</t>
  </si>
  <si>
    <t>עלי סלאלחה</t>
  </si>
  <si>
    <t>רתם סיון</t>
  </si>
  <si>
    <t>ערן עציון</t>
  </si>
  <si>
    <t>בנימין נתניהו</t>
  </si>
  <si>
    <t>יו"ר</t>
  </si>
  <si>
    <t>אלי כהן</t>
  </si>
  <si>
    <t>פריימריז</t>
  </si>
  <si>
    <t>אמיר אוחנה</t>
  </si>
  <si>
    <t>שריון</t>
  </si>
  <si>
    <t>יריב לוין</t>
  </si>
  <si>
    <t>מירי רגב</t>
  </si>
  <si>
    <t>ישראל כץ</t>
  </si>
  <si>
    <t>גדעון סער</t>
  </si>
  <si>
    <t>אופיר כץ</t>
  </si>
  <si>
    <t>טליק גווילי</t>
  </si>
  <si>
    <t>יואב קיש</t>
  </si>
  <si>
    <t>יעקב ברדוגו</t>
  </si>
  <si>
    <t>מיקי זוהר</t>
  </si>
  <si>
    <t>אלמוג כהן</t>
  </si>
  <si>
    <t>עמיחי שיקלי</t>
  </si>
  <si>
    <t>אלישע מדן</t>
  </si>
  <si>
    <t>דוד פטר</t>
  </si>
  <si>
    <t>משה סעדה</t>
  </si>
  <si>
    <t>חיים כץ</t>
  </si>
  <si>
    <t>דודי אמסלם</t>
  </si>
  <si>
    <t>חוה עטייה</t>
  </si>
  <si>
    <t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</si>
  <si>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>בועז ביסמוט</t>
  </si>
  <si>
    <t>דוד ביטן</t>
  </si>
  <si>
    <t>שלמה קרעי</t>
  </si>
  <si>
    <t>ניר ברקת</t>
  </si>
  <si>
    <t>גילה גמליאל</t>
  </si>
  <si>
    <t>אלי גולדשמידט</t>
  </si>
  <si>
    <t>ארז תדמור</t>
  </si>
  <si>
    <t>פריימריז מחוז ירושליים</t>
  </si>
  <si>
    <t>שלמה לרנר</t>
  </si>
  <si>
    <t>פריימריז מחוז שפלה</t>
  </si>
  <si>
    <t>איציק בונצל</t>
  </si>
  <si>
    <t>שוקי אוחנה</t>
  </si>
  <si>
    <t>פריימריז מחוז גליל</t>
  </si>
  <si>
    <t>משה בנימין פרץ</t>
  </si>
  <si>
    <t>פריימריז מחוז הנגב</t>
  </si>
  <si>
    <t>זאב אלקין</t>
  </si>
  <si>
    <t>עמית הלוי</t>
  </si>
  <si>
    <t>קרן בובליל-אטיאס</t>
  </si>
  <si>
    <t>פריימריז אשה חדשה</t>
  </si>
  <si>
    <t>אביחי אברהם בוארון</t>
  </si>
  <si>
    <t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</si>
  <si>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>אפי נוה</t>
  </si>
  <si>
    <t>יועז הנדל</t>
  </si>
  <si>
    <t>מנהיג "המילואימניקים"; ריצ"רץ' משותף עם זליכה (שניהם "מספר 1"); כיפה</t>
  </si>
  <si>
    <t>ירון זליכה</t>
  </si>
  <si>
    <t>כלכלן, מנהיג "המפלגה הכלכלית"; ריצ"רץ' משותף עם הנדל; כיפה</t>
  </si>
  <si>
    <t>עינת וילף</t>
  </si>
  <si>
    <t>ד"ר, ח"כ לשעבר (העבודה), יו"ר מפלגת "עוז"; כיפה</t>
  </si>
  <si>
    <t>חביב ווליבוביץ</t>
  </si>
  <si>
    <t>מנכ"ל המפלגה הכלכלית, רו"ח; hakalkalit.org</t>
  </si>
  <si>
    <t>יואב אדומי</t>
  </si>
  <si>
    <t>כיפה</t>
  </si>
  <si>
    <t>אופיר שי לנגמן</t>
  </si>
  <si>
    <t>כיפה - מגדר לא אומת במקור נוסף, הוסק משם פרטי</t>
  </si>
  <si>
    <t>שלומי דמרי</t>
  </si>
  <si>
    <t>ליאור גלבוע</t>
  </si>
  <si>
    <t>כיפה - מגדר לא אומת במקור נוסף, הוסק משם פרטי (שם אוניסקס)</t>
  </si>
  <si>
    <t>תהילה פרץ</t>
  </si>
  <si>
    <t>שלום ביטון</t>
  </si>
  <si>
    <t>עמליה קינן</t>
  </si>
  <si>
    <t>הילה בורנשטיין</t>
  </si>
  <si>
    <t>איתי גיטלר</t>
  </si>
  <si>
    <t>משה אלישע</t>
  </si>
  <si>
    <t>יונתן בהט</t>
  </si>
  <si>
    <t>מאור פז</t>
  </si>
  <si>
    <t>אלמוג רום</t>
  </si>
  <si>
    <t>דוד שבח</t>
  </si>
  <si>
    <t>דוד לוי</t>
  </si>
  <si>
    <t>סתיו נקי</t>
  </si>
  <si>
    <t>ליטנר פנחס מרדכי</t>
  </si>
  <si>
    <t>רשימה רשמית</t>
  </si>
  <si>
    <t>פרדי אשר</t>
  </si>
  <si>
    <t>יפה מרים נחמה</t>
  </si>
  <si>
    <t>גלאנץ זיוה רנית</t>
  </si>
  <si>
    <t>מרדכי רובינשטיין</t>
  </si>
  <si>
    <t>יצחק אדלרשטיין</t>
  </si>
  <si>
    <t>אהרון אונגאר</t>
  </si>
  <si>
    <t>בצלאל יואל סמוטריץ'</t>
  </si>
  <si>
    <t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</si>
  <si>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>משה זלמן פייגלין</t>
  </si>
  <si>
    <t>אורית מלכה סטרוק</t>
  </si>
  <si>
    <t>שמחה דן רוטמן</t>
  </si>
  <si>
    <t>צבי מור</t>
  </si>
  <si>
    <t>איתמר מרדכי איתם</t>
  </si>
  <si>
    <t>צבי ידידיה סוכות</t>
  </si>
  <si>
    <t>יצחק חי זאגא</t>
  </si>
  <si>
    <t>רעות בן חיים</t>
  </si>
  <si>
    <t>עומר פציניאש וולדמן</t>
  </si>
  <si>
    <t xml:space="preserve"> ארקדי מוטר</t>
  </si>
  <si>
    <t>אוהד טל</t>
  </si>
  <si>
    <t xml:space="preserve">רועי קירשברג </t>
  </si>
  <si>
    <t>עומר רחמים</t>
  </si>
  <si>
    <t>סימון חסון</t>
  </si>
  <si>
    <t>שמואל ששון</t>
  </si>
  <si>
    <t>שיראל נהיר</t>
  </si>
  <si>
    <t xml:space="preserve">צבי וישינגרד </t>
  </si>
  <si>
    <t>יוסף גבארין</t>
  </si>
  <si>
    <t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</si>
  <si>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>אחמד טיבי</t>
  </si>
  <si>
    <t>עואודה בכר</t>
  </si>
  <si>
    <t>עופר כסיף</t>
  </si>
  <si>
    <t>יוסף עטאונה</t>
  </si>
  <si>
    <t>פאתן ג'טאס</t>
  </si>
  <si>
    <t>מהא סבאח כרכבי</t>
  </si>
  <si>
    <t>אחמד דראושה</t>
  </si>
  <si>
    <t>נהאיה ושאחי</t>
  </si>
  <si>
    <t xml:space="preserve">חסן אלנסאסרה </t>
  </si>
  <si>
    <t>יעקב אשר</t>
  </si>
  <si>
    <t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</si>
  <si>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>יצחק יששכר גולדקנופ</t>
  </si>
  <si>
    <t>יצחק זאב פינדרוס</t>
  </si>
  <si>
    <t>מאיר פרוש</t>
  </si>
  <si>
    <t>משה עזריאל רוזנטל</t>
  </si>
  <si>
    <t>אלי שטארק</t>
  </si>
  <si>
    <t>יהודה לייב וויספיש</t>
  </si>
  <si>
    <t>יואל יעקב טסלר</t>
  </si>
  <si>
    <t>דוד זלץ</t>
  </si>
  <si>
    <t>גדי איזנקוט</t>
  </si>
  <si>
    <t>יורם כהן</t>
  </si>
  <si>
    <t>אורית פרקש הכהן</t>
  </si>
  <si>
    <t>עדי אלטשולר</t>
  </si>
  <si>
    <t>מתן כהנא</t>
  </si>
  <si>
    <t>חילי טרופר</t>
  </si>
  <si>
    <t>שאול מרידור</t>
  </si>
  <si>
    <t>תאיר איפרגן</t>
  </si>
  <si>
    <t>אושרת גני גונן</t>
  </si>
  <si>
    <t>שירה שפירא</t>
  </si>
  <si>
    <t>ענבר הרוש גיטי</t>
  </si>
  <si>
    <t>אלעזר שטרן</t>
  </si>
  <si>
    <t>כמיל אבו רוקן</t>
  </si>
  <si>
    <t>דבורה שריפיאן בכר</t>
  </si>
  <si>
    <t>אלקס ריף</t>
  </si>
  <si>
    <t>ענבר יחזקאלי</t>
  </si>
  <si>
    <t>רועי פולקמן</t>
  </si>
  <si>
    <t>ישראל זרי</t>
  </si>
  <si>
    <t>טל אוחנה חכמון</t>
  </si>
  <si>
    <t>אליסף פרץ</t>
  </si>
  <si>
    <t>יפה טבג'ה</t>
  </si>
  <si>
    <t>ניר חג'בי</t>
  </si>
  <si>
    <t>רון ברקאי</t>
  </si>
  <si>
    <t>שי פישר</t>
  </si>
  <si>
    <t>ליאן פולק דוד</t>
  </si>
  <si>
    <t>רועי כהן</t>
  </si>
  <si>
    <t>זיו רוזן</t>
  </si>
  <si>
    <t>ג'וסלין בש</t>
  </si>
  <si>
    <t>אלון פוטרמן</t>
  </si>
  <si>
    <t>טלי מולנר</t>
  </si>
  <si>
    <t>גיל אבריאל</t>
  </si>
  <si>
    <t>שירן בן דוד עוזרי</t>
  </si>
  <si>
    <t>אלירן אליה</t>
  </si>
  <si>
    <t>הלן גלבר</t>
  </si>
  <si>
    <t>שלומי יחיאב</t>
  </si>
  <si>
    <t>הילה מאיר</t>
  </si>
  <si>
    <t>רן בן עטיה</t>
  </si>
  <si>
    <t>אליענה זקס</t>
  </si>
  <si>
    <t>גידי זאגא</t>
  </si>
  <si>
    <t>משה דוידוביץ</t>
  </si>
  <si>
    <t>אביגדור ליברמן</t>
  </si>
  <si>
    <t>רשימה רשמית שהוצגה ע"י ליברמן בכנס בחירות (6.9.2026)</t>
  </si>
  <si>
    <t>רפי בן שטרית</t>
  </si>
  <si>
    <t>טליה לנקרי</t>
  </si>
  <si>
    <t>עודד פורר</t>
  </si>
  <si>
    <t>יוליה מלינובסקי</t>
  </si>
  <si>
    <t>שרון שרעבי</t>
  </si>
  <si>
    <t>חמד עמאר</t>
  </si>
  <si>
    <t>יבגני סובה</t>
  </si>
  <si>
    <t>אלוירה קוליחמן</t>
  </si>
  <si>
    <t>דן אילוז</t>
  </si>
  <si>
    <t>לילי בן עמי</t>
  </si>
  <si>
    <t>ד"ר יעל בנבנישתי</t>
  </si>
  <si>
    <t>דוד אזולאי</t>
  </si>
  <si>
    <t>לימור מגן</t>
  </si>
  <si>
    <t>ישראל בן שטרית</t>
  </si>
  <si>
    <t>שרון רופא אופיר</t>
  </si>
  <si>
    <t>מור דקל</t>
  </si>
  <si>
    <t>מיכאלה לוין-שמיר</t>
  </si>
  <si>
    <t>אל"מ (במיל') אוליביה רפוביץ'</t>
  </si>
  <si>
    <t>יעקב (ינקי) מוזס</t>
  </si>
  <si>
    <t>בנימין גנץ</t>
  </si>
  <si>
    <t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</si>
  <si>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>פנינה תמנו</t>
  </si>
  <si>
    <t>גאולה עליזה בלוך</t>
  </si>
  <si>
    <t>רועי קונקול</t>
  </si>
  <si>
    <t>רתם צאליק אבידר</t>
  </si>
  <si>
    <t>טבול שמעון</t>
  </si>
  <si>
    <t>ליבמן אליהו שלום</t>
  </si>
  <si>
    <t>אלון ליאורה</t>
  </si>
  <si>
    <t>איתמר בן גביר</t>
  </si>
  <si>
    <t>חבר/ת כנסת מכהן/ת - ללא שינוי</t>
  </si>
  <si>
    <t>טלי גוטליב</t>
  </si>
  <si>
    <t>מצטרפת מהליכוד (הייתה במקום 20 בליכוד); הוכרז 4.9.2026 ע"י בן גביר</t>
  </si>
  <si>
    <t>יצחק וסרלאוף</t>
  </si>
  <si>
    <t>פרסום רשמי של המפלגה 7.9</t>
  </si>
  <si>
    <t>עמיחי אליהו</t>
  </si>
  <si>
    <t>לימור סון הר-מלך</t>
  </si>
  <si>
    <t>יצחק קרויזר</t>
  </si>
  <si>
    <t>חנמאל דורפמן</t>
  </si>
  <si>
    <t>צחי אליהו</t>
  </si>
  <si>
    <t>יוסי גולדברגר</t>
  </si>
  <si>
    <t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</si>
  <si>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>איתיאל ניימן</t>
  </si>
  <si>
    <t>דוד בבלי</t>
  </si>
  <si>
    <t>ישי יעקב פליישר</t>
  </si>
  <si>
    <t>שירן מירזאי</t>
  </si>
  <si>
    <t>שימי גולן</t>
  </si>
  <si>
    <t>יניב בדלוב</t>
  </si>
  <si>
    <t>אייצ'לותם מסלה</t>
  </si>
  <si>
    <t>אפרים גד מזוז</t>
  </si>
  <si>
    <t>עופר וינטר</t>
  </si>
  <si>
    <t>מנהיג ומייסד המפלגה, תא"ל במיל'; הושקה 25.8.26 (ynet, ערוץ 7)</t>
  </si>
  <si>
    <t>יוסף חדאד</t>
  </si>
  <si>
    <t>פעיל הסברה, מס' 2 ברשימה (הוכרז במפורש); ערוץ 7</t>
  </si>
  <si>
    <t>נטעלי שם טוב</t>
  </si>
  <si>
    <t>עיתונאית ומגישת חדשות; ערוץ 7</t>
  </si>
  <si>
    <t>ערן בן-ארי</t>
  </si>
  <si>
    <t>עו"ד, חבר המועצה הארצית ומוביל האופוזיציה בלשכת עוה"ד; ערוץ 7</t>
  </si>
  <si>
    <t>פלר חסן-נחום</t>
  </si>
  <si>
    <t>עו"ד, לשעבר משנה לראש עיריית ירושלים; ערוץ 7</t>
  </si>
  <si>
    <t>ללי דרעי</t>
  </si>
  <si>
    <t>אם שכולה (בנה נפל בעזה, יוני 2024); ערוץ 7</t>
  </si>
  <si>
    <t>רונן בודנרו</t>
  </si>
  <si>
    <t>כלכלן; ערוץ 7</t>
  </si>
  <si>
    <t>דוידי בן ציון</t>
  </si>
  <si>
    <t>סגן ומ"מ ראש המועצה האזורית שומרון; ערוץ 7</t>
  </si>
  <si>
    <t>אביב עזרא</t>
  </si>
  <si>
    <t>מייסד ויו"ר תנועת "דור הניצחון"; ערוץ 7</t>
  </si>
  <si>
    <t>אלי ג'ינו</t>
  </si>
  <si>
    <t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</si>
  <si>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>סיגל קראוניק-עטיה</t>
  </si>
  <si>
    <t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</si>
  <si>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>מנסור עבאס</t>
  </si>
  <si>
    <t>חבר/ת כנסת מכהן/ת</t>
  </si>
  <si>
    <t>יואב סגלוביץ'</t>
  </si>
  <si>
    <t>מצטרף לרשימת רע"מ במיקום 2 - עודכן לפי בקשת המשתמש (לשעבר חבר כנסת ביש עתיד/ביחד)</t>
  </si>
  <si>
    <t>וליד טאהא</t>
  </si>
  <si>
    <t>וליד אלהואשלה</t>
  </si>
  <si>
    <t>אימאן ח'טיב יאסין</t>
  </si>
  <si>
    <t>יאסר חוג'יראת</t>
  </si>
  <si>
    <t xml:space="preserve">חבר/ת כנסת מכהן/ת </t>
  </si>
  <si>
    <t>אריה מכלוף דרעי</t>
  </si>
  <si>
    <t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</si>
  <si>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>ינון אזולאי</t>
  </si>
  <si>
    <t>מיכאל משה מלכיאלי</t>
  </si>
  <si>
    <t>יואב בן צור</t>
  </si>
  <si>
    <t>חיים ביטון</t>
  </si>
  <si>
    <t>דרור דוד עמוס</t>
  </si>
  <si>
    <t>משה אבוטבול</t>
  </si>
  <si>
    <t>אוריאל מנחם בוסו</t>
  </si>
  <si>
    <t>גבר</t>
  </si>
  <si>
    <t>עוד גבר</t>
  </si>
  <si>
    <t>עוד פעם גבר</t>
  </si>
  <si>
    <t>מנדטים צפויים</t>
  </si>
  <si>
    <t>הערות</t>
  </si>
  <si>
    <t>מנדטים נוכחיים (כנסת 25)</t>
  </si>
  <si>
    <t>נשים נוכחיות</t>
  </si>
  <si>
    <t>אחוז נשים נוכחי</t>
  </si>
  <si>
    <t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</si>
  <si>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</si>
  <si>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</si>
  <si>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>רשימה סופית רשמית (democrats.org.il/team, נשלף 5.8.2026); כל 20 המקומות הידועים נכללו, אך החישוב סופר רק את 10 המקומות הראשונים לפי המנדטים הצפויים בסקר</t>
  </si>
  <si>
    <t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</si>
  <si>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>מפלגה חד-מגדרית באופן היסטורי</t>
  </si>
  <si>
    <t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</si>
  <si>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>מפלגה חד-מגדרית באופן היסטורי; מיקום 8 משוער</t>
  </si>
  <si>
    <t>רשימת חד"ש הרשמית מאתר המפלגה (hadash.org.il/list); אחמד טיבי (תע"ל) הוכנס במיקום 2 לפי בקשת המשתמש; איאס נאטור (מיקום 7) מחוץ לטווח 6 המנדטים</t>
  </si>
  <si>
    <t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</si>
  <si>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>מושב 6 (יאסר חוג'יראת) לא ודאי; יואב סגלוביץ' נוסף במיקום 2 לפי בקשת המשתמש (הצטרפות מיש עתיד/ביחד)</t>
  </si>
  <si>
    <t>0 מנדטים חזויים (מתחת לסף שנקבע) - לא נספר</t>
  </si>
  <si>
    <t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</si>
  <si>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</si>
  <si>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>מלפגה חדשה</t>
  </si>
  <si>
    <t>סה"כ</t>
  </si>
  <si>
    <t>סוקר</t>
  </si>
  <si>
    <t>מספר משיבים</t>
  </si>
  <si>
    <t>2026-10-18</t>
  </si>
  <si>
    <t>שלמה פילבר</t>
  </si>
  <si>
    <t>559</t>
  </si>
  <si>
    <t>דודי חסיד</t>
  </si>
  <si>
    <t>554</t>
  </si>
  <si>
    <t>2026-10-16</t>
  </si>
  <si>
    <t>מנחם לזר</t>
  </si>
  <si>
    <t>700</t>
  </si>
  <si>
    <t>2026-10-15</t>
  </si>
  <si>
    <t>551</t>
  </si>
  <si>
    <t>יוסי טאטיקה</t>
  </si>
  <si>
    <t>500</t>
  </si>
  <si>
    <t>2026-10-14</t>
  </si>
  <si>
    <t>המדד</t>
  </si>
  <si>
    <t>1018</t>
  </si>
  <si>
    <t>2026-10-13</t>
  </si>
  <si>
    <t>יצחק כ״ץ</t>
  </si>
  <si>
    <t>2026-10-12</t>
  </si>
  <si>
    <t>מנו גבע</t>
  </si>
  <si>
    <t>509</t>
  </si>
  <si>
    <t>2026-10-08</t>
  </si>
  <si>
    <t>צוריאל שרון</t>
  </si>
  <si>
    <t>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</si>
</sst>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charset val="1"/>
    </font>
    <font>
      <sz val="11"/>
      <color theme="1"/>
      <name val="Arial"/>
      <charset val="1"/>
    </font>
    <font>
      <b/>
      <sz val="11"/>
      <color theme="1"/>
      <name val="Aptos Narrow"/>
      <charset val="1"/>
    </font>
    <font>
      <b/>
      <sz val="11"/>
      <color theme="1"/>
      <name val="Arial"/>
      <charset val="1"/>
    </font>
    <font>
      <sz val="11"/>
      <color rgb="FF000000"/>
      <name val="&quot;Aptos Narrow&quot;"/>
      <charset val="1"/>
    </font>
    <font>
      <sz val="11"/>
      <color rgb="FF000000"/>
      <name val="Arial"/>
      <charset val="1"/>
    </font>
    <font>
      <b/>
      <sz val="11"/>
      <name val="Arial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right" wrapText="1" readingOrder="2"/>
    </xf>
    <xf numFmtId="0" fontId="3" fillId="0" borderId="2" xfId="0" applyFont="1" applyBorder="1" applyAlignment="1">
      <alignment horizontal="right" wrapText="1" readingOrder="2"/>
    </xf>
    <xf numFmtId="0" fontId="1" fillId="0" borderId="3" xfId="0" applyFont="1" applyBorder="1" applyAlignment="1">
      <alignment horizontal="right" wrapText="1" readingOrder="2"/>
    </xf>
    <xf numFmtId="0" fontId="4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 wrapText="1" readingOrder="2"/>
    </xf>
    <xf numFmtId="0" fontId="6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rightToLeft="1" topLeftCell="A861" zoomScaleNormal="100" workbookViewId="0">
      <selection activeCell="C878" sqref="C878"/>
    </sheetView>
  </sheetViews>
  <sheetFormatPr defaultColWidth="12.5703125" defaultRowHeight="15"/>
  <cols>
    <col min="1" max="1" width="56.5703125" customWidth="1"/>
    <col min="2" max="2" width="8.5703125" customWidth="1"/>
    <col min="3" max="3" width="29.7109375" customWidth="1"/>
    <col min="4" max="26" width="8.5703125" customWidth="1"/>
  </cols>
  <sheetData>
    <row r="1" spans="1:4" ht="14.25" customHeight="1">
      <c r="A1" s="1" t="s">
        <v>2</v>
      </c>
      <c r="B1" t="s">
        <v>33</v>
      </c>
      <c r="C1" t="s">
        <v>34</v>
      </c>
      <c r="D1" s="1" t="s">
        <v>35</v>
      </c>
    </row>
    <row r="2" spans="1:4" ht="14.25" customHeight="1">
      <c r="A2" t="s">
        <v>36</v>
      </c>
      <c r="B2">
        <v>1</v>
      </c>
      <c r="C2" t="s">
        <v>37</v>
      </c>
    </row>
    <row r="3" spans="1:4" ht="14.25" customHeight="1">
      <c r="A3" t="s">
        <v>36</v>
      </c>
      <c r="B3">
        <v>2</v>
      </c>
      <c r="C3" t="s">
        <v>38</v>
      </c>
    </row>
    <row r="4" spans="1:4" ht="14.25" customHeight="1">
      <c r="A4" t="s">
        <v>36</v>
      </c>
      <c r="B4">
        <v>3</v>
      </c>
      <c r="C4" t="s">
        <v>39</v>
      </c>
    </row>
    <row r="5" spans="1:4" ht="14.25" customHeight="1">
      <c r="A5" t="s">
        <v>36</v>
      </c>
      <c r="B5">
        <v>4</v>
      </c>
      <c r="C5" t="s">
        <v>40</v>
      </c>
    </row>
    <row r="6" spans="1:4" ht="14.25" customHeight="1">
      <c r="A6" t="s">
        <v>36</v>
      </c>
      <c r="B6">
        <v>5</v>
      </c>
      <c r="C6" t="s">
        <v>41</v>
      </c>
    </row>
    <row r="7" spans="1:4" ht="14.25" customHeight="1">
      <c r="A7" t="s">
        <v>36</v>
      </c>
      <c r="B7">
        <v>6</v>
      </c>
      <c r="C7" t="s">
        <v>42</v>
      </c>
    </row>
    <row r="8" spans="1:4" ht="14.25" customHeight="1">
      <c r="A8" t="s">
        <v>36</v>
      </c>
      <c r="B8">
        <v>7</v>
      </c>
      <c r="C8" t="s">
        <v>43</v>
      </c>
    </row>
    <row r="9" spans="1:4" ht="14.25" customHeight="1">
      <c r="A9" t="s">
        <v>36</v>
      </c>
      <c r="B9">
        <v>8</v>
      </c>
      <c r="C9" t="s">
        <v>44</v>
      </c>
    </row>
    <row r="10" spans="1:4" ht="14.25" customHeight="1">
      <c r="A10" t="s">
        <v>36</v>
      </c>
      <c r="B10">
        <v>9</v>
      </c>
      <c r="C10" t="s">
        <v>45</v>
      </c>
    </row>
    <row r="11" spans="1:4" ht="14.25" customHeight="1">
      <c r="A11" t="s">
        <v>36</v>
      </c>
      <c r="B11">
        <v>10</v>
      </c>
      <c r="C11" t="s">
        <v>46</v>
      </c>
    </row>
    <row r="12" spans="1:4" ht="14.25" customHeight="1">
      <c r="A12" t="s">
        <v>36</v>
      </c>
      <c r="B12">
        <v>11</v>
      </c>
      <c r="C12" t="s">
        <v>47</v>
      </c>
    </row>
    <row r="13" spans="1:4" ht="14.25" customHeight="1">
      <c r="A13" t="s">
        <v>36</v>
      </c>
      <c r="B13">
        <v>12</v>
      </c>
      <c r="C13" t="s">
        <v>48</v>
      </c>
    </row>
    <row r="14" spans="1:4" ht="14.25" customHeight="1">
      <c r="A14" t="s">
        <v>36</v>
      </c>
      <c r="B14">
        <v>13</v>
      </c>
      <c r="C14" t="s">
        <v>49</v>
      </c>
    </row>
    <row r="15" spans="1:4" ht="14.25" customHeight="1">
      <c r="A15" t="s">
        <v>36</v>
      </c>
      <c r="B15">
        <v>14</v>
      </c>
      <c r="C15" t="s">
        <v>50</v>
      </c>
    </row>
    <row r="16" spans="1:4" ht="14.25" customHeight="1">
      <c r="A16" t="s">
        <v>36</v>
      </c>
      <c r="B16">
        <v>15</v>
      </c>
      <c r="C16" t="s">
        <v>51</v>
      </c>
    </row>
    <row r="17" spans="1:3" ht="14.25" customHeight="1">
      <c r="A17" t="s">
        <v>36</v>
      </c>
      <c r="B17">
        <v>16</v>
      </c>
      <c r="C17" t="s">
        <v>52</v>
      </c>
    </row>
    <row r="18" spans="1:3" ht="14.25" customHeight="1">
      <c r="A18" t="s">
        <v>36</v>
      </c>
      <c r="B18">
        <v>17</v>
      </c>
      <c r="C18" t="s">
        <v>53</v>
      </c>
    </row>
    <row r="19" spans="1:3" ht="14.25" customHeight="1">
      <c r="A19" t="s">
        <v>36</v>
      </c>
      <c r="B19">
        <v>18</v>
      </c>
      <c r="C19" t="s">
        <v>54</v>
      </c>
    </row>
    <row r="20" spans="1:3" ht="14.25" customHeight="1">
      <c r="A20" t="s">
        <v>36</v>
      </c>
      <c r="B20">
        <v>19</v>
      </c>
      <c r="C20" t="s">
        <v>55</v>
      </c>
    </row>
    <row r="21" spans="1:3" ht="14.25" customHeight="1">
      <c r="A21" t="s">
        <v>36</v>
      </c>
      <c r="B21">
        <v>20</v>
      </c>
      <c r="C21" t="s">
        <v>56</v>
      </c>
    </row>
    <row r="22" spans="1:3" ht="14.25" customHeight="1">
      <c r="A22" t="s">
        <v>36</v>
      </c>
      <c r="B22">
        <v>21</v>
      </c>
      <c r="C22" t="s">
        <v>57</v>
      </c>
    </row>
    <row r="23" spans="1:3" ht="14.25" customHeight="1">
      <c r="A23" t="s">
        <v>36</v>
      </c>
      <c r="B23">
        <v>22</v>
      </c>
      <c r="C23" t="s">
        <v>58</v>
      </c>
    </row>
    <row r="24" spans="1:3" ht="14.25" customHeight="1">
      <c r="A24" t="s">
        <v>36</v>
      </c>
      <c r="B24">
        <v>23</v>
      </c>
      <c r="C24" t="s">
        <v>59</v>
      </c>
    </row>
    <row r="25" spans="1:3" ht="14.25" customHeight="1">
      <c r="A25" t="s">
        <v>36</v>
      </c>
      <c r="B25">
        <v>24</v>
      </c>
      <c r="C25" t="s">
        <v>60</v>
      </c>
    </row>
    <row r="26" spans="1:3" ht="14.25" customHeight="1">
      <c r="A26" t="s">
        <v>36</v>
      </c>
      <c r="B26">
        <v>25</v>
      </c>
      <c r="C26" t="s">
        <v>61</v>
      </c>
    </row>
    <row r="27" spans="1:3" ht="14.25" customHeight="1">
      <c r="A27" t="s">
        <v>36</v>
      </c>
      <c r="B27">
        <v>26</v>
      </c>
      <c r="C27" t="s">
        <v>62</v>
      </c>
    </row>
    <row r="28" spans="1:3" ht="14.25" customHeight="1">
      <c r="A28" t="s">
        <v>36</v>
      </c>
      <c r="B28">
        <v>27</v>
      </c>
      <c r="C28" t="s">
        <v>63</v>
      </c>
    </row>
    <row r="29" spans="1:3" ht="14.25" customHeight="1">
      <c r="A29" t="s">
        <v>36</v>
      </c>
      <c r="B29">
        <v>28</v>
      </c>
      <c r="C29" t="s">
        <v>64</v>
      </c>
    </row>
    <row r="30" spans="1:3" ht="14.25" customHeight="1">
      <c r="A30" t="s">
        <v>36</v>
      </c>
      <c r="B30">
        <v>29</v>
      </c>
      <c r="C30" t="s">
        <v>65</v>
      </c>
    </row>
    <row r="31" spans="1:3" ht="14.25" customHeight="1">
      <c r="A31" t="s">
        <v>36</v>
      </c>
      <c r="B31">
        <v>30</v>
      </c>
      <c r="C31" t="s">
        <v>66</v>
      </c>
    </row>
    <row r="32" spans="1:3" ht="14.25" customHeight="1">
      <c r="A32" t="s">
        <v>36</v>
      </c>
      <c r="B32">
        <v>31</v>
      </c>
      <c r="C32" t="s">
        <v>67</v>
      </c>
    </row>
    <row r="33" spans="1:3" ht="14.25" customHeight="1">
      <c r="A33" t="s">
        <v>36</v>
      </c>
      <c r="B33">
        <v>32</v>
      </c>
      <c r="C33" t="s">
        <v>68</v>
      </c>
    </row>
    <row r="34" spans="1:3" ht="14.25" customHeight="1">
      <c r="A34" t="s">
        <v>36</v>
      </c>
      <c r="B34">
        <v>33</v>
      </c>
      <c r="C34" t="s">
        <v>69</v>
      </c>
    </row>
    <row r="35" spans="1:3" ht="14.25" customHeight="1">
      <c r="A35" t="s">
        <v>36</v>
      </c>
      <c r="B35">
        <v>34</v>
      </c>
      <c r="C35" t="s">
        <v>70</v>
      </c>
    </row>
    <row r="36" spans="1:3" ht="14.25" customHeight="1">
      <c r="A36" t="s">
        <v>36</v>
      </c>
      <c r="B36">
        <v>35</v>
      </c>
      <c r="C36" t="s">
        <v>71</v>
      </c>
    </row>
    <row r="37" spans="1:3" ht="14.25" customHeight="1">
      <c r="A37" t="s">
        <v>36</v>
      </c>
      <c r="B37">
        <v>36</v>
      </c>
      <c r="C37" t="s">
        <v>72</v>
      </c>
    </row>
    <row r="38" spans="1:3" ht="14.25" customHeight="1">
      <c r="A38" t="s">
        <v>36</v>
      </c>
      <c r="B38">
        <v>37</v>
      </c>
      <c r="C38" t="s">
        <v>73</v>
      </c>
    </row>
    <row r="39" spans="1:3" ht="14.25" customHeight="1">
      <c r="A39" t="s">
        <v>36</v>
      </c>
      <c r="B39">
        <v>38</v>
      </c>
      <c r="C39" t="s">
        <v>74</v>
      </c>
    </row>
    <row r="40" spans="1:3" ht="14.25" customHeight="1">
      <c r="A40" t="s">
        <v>36</v>
      </c>
      <c r="B40">
        <v>39</v>
      </c>
      <c r="C40" t="s">
        <v>75</v>
      </c>
    </row>
    <row r="41" spans="1:3" ht="14.25" customHeight="1">
      <c r="A41" t="s">
        <v>36</v>
      </c>
      <c r="B41">
        <v>40</v>
      </c>
      <c r="C41" t="s">
        <v>76</v>
      </c>
    </row>
    <row r="42" spans="1:3" ht="14.25" customHeight="1">
      <c r="A42" t="s">
        <v>36</v>
      </c>
      <c r="B42">
        <v>41</v>
      </c>
      <c r="C42" t="s">
        <v>77</v>
      </c>
    </row>
    <row r="43" spans="1:3" ht="14.25" customHeight="1">
      <c r="A43" t="s">
        <v>36</v>
      </c>
      <c r="B43">
        <v>42</v>
      </c>
      <c r="C43" t="s">
        <v>78</v>
      </c>
    </row>
    <row r="44" spans="1:3" ht="14.25" customHeight="1">
      <c r="A44" t="s">
        <v>36</v>
      </c>
      <c r="B44">
        <v>43</v>
      </c>
      <c r="C44" t="s">
        <v>79</v>
      </c>
    </row>
    <row r="45" spans="1:3" ht="14.25" customHeight="1">
      <c r="A45" t="s">
        <v>36</v>
      </c>
      <c r="B45">
        <v>44</v>
      </c>
      <c r="C45" t="s">
        <v>80</v>
      </c>
    </row>
    <row r="46" spans="1:3" ht="14.25" customHeight="1">
      <c r="A46" t="s">
        <v>36</v>
      </c>
      <c r="B46">
        <v>45</v>
      </c>
      <c r="C46" t="s">
        <v>81</v>
      </c>
    </row>
    <row r="47" spans="1:3" ht="14.25" customHeight="1">
      <c r="A47" t="s">
        <v>36</v>
      </c>
      <c r="B47">
        <v>46</v>
      </c>
      <c r="C47" t="s">
        <v>82</v>
      </c>
    </row>
    <row r="48" spans="1:3" ht="14.25" customHeight="1">
      <c r="A48" t="s">
        <v>36</v>
      </c>
      <c r="B48">
        <v>47</v>
      </c>
      <c r="C48" t="s">
        <v>83</v>
      </c>
    </row>
    <row r="49" spans="1:3" ht="14.25" customHeight="1">
      <c r="A49" t="s">
        <v>36</v>
      </c>
      <c r="B49">
        <v>48</v>
      </c>
      <c r="C49" t="s">
        <v>84</v>
      </c>
    </row>
    <row r="50" spans="1:3" ht="14.25" customHeight="1">
      <c r="A50" t="s">
        <v>36</v>
      </c>
      <c r="B50">
        <v>49</v>
      </c>
      <c r="C50" t="s">
        <v>85</v>
      </c>
    </row>
    <row r="51" spans="1:3" ht="14.25" customHeight="1">
      <c r="A51" t="s">
        <v>36</v>
      </c>
      <c r="B51">
        <v>50</v>
      </c>
      <c r="C51" t="s">
        <v>86</v>
      </c>
    </row>
    <row r="52" spans="1:3" ht="14.25" customHeight="1">
      <c r="A52" t="s">
        <v>36</v>
      </c>
      <c r="B52">
        <v>51</v>
      </c>
      <c r="C52" t="s">
        <v>87</v>
      </c>
    </row>
    <row r="53" spans="1:3" ht="14.25" customHeight="1">
      <c r="A53" t="s">
        <v>36</v>
      </c>
      <c r="B53">
        <v>52</v>
      </c>
      <c r="C53" t="s">
        <v>88</v>
      </c>
    </row>
    <row r="54" spans="1:3" ht="14.25" customHeight="1">
      <c r="A54" t="s">
        <v>36</v>
      </c>
      <c r="B54">
        <v>53</v>
      </c>
      <c r="C54" t="s">
        <v>89</v>
      </c>
    </row>
    <row r="55" spans="1:3" ht="14.25" customHeight="1">
      <c r="A55" t="s">
        <v>36</v>
      </c>
      <c r="B55">
        <v>54</v>
      </c>
      <c r="C55" t="s">
        <v>90</v>
      </c>
    </row>
    <row r="56" spans="1:3" ht="14.25" customHeight="1">
      <c r="A56" t="s">
        <v>36</v>
      </c>
      <c r="B56">
        <v>55</v>
      </c>
      <c r="C56" t="s">
        <v>91</v>
      </c>
    </row>
    <row r="57" spans="1:3" ht="14.25" customHeight="1">
      <c r="A57" t="s">
        <v>36</v>
      </c>
      <c r="B57">
        <v>56</v>
      </c>
      <c r="C57" t="s">
        <v>92</v>
      </c>
    </row>
    <row r="58" spans="1:3" ht="14.25" customHeight="1">
      <c r="A58" t="s">
        <v>36</v>
      </c>
      <c r="B58">
        <v>57</v>
      </c>
      <c r="C58" t="s">
        <v>93</v>
      </c>
    </row>
    <row r="59" spans="1:3" ht="14.25" customHeight="1">
      <c r="A59" t="s">
        <v>36</v>
      </c>
      <c r="B59">
        <v>58</v>
      </c>
      <c r="C59" t="s">
        <v>94</v>
      </c>
    </row>
    <row r="60" spans="1:3" ht="14.25" customHeight="1">
      <c r="A60" t="s">
        <v>36</v>
      </c>
      <c r="B60">
        <v>59</v>
      </c>
      <c r="C60" t="s">
        <v>95</v>
      </c>
    </row>
    <row r="61" spans="1:3" ht="14.25" customHeight="1">
      <c r="A61" t="s">
        <v>36</v>
      </c>
      <c r="B61">
        <v>60</v>
      </c>
      <c r="C61" t="s">
        <v>96</v>
      </c>
    </row>
    <row r="62" spans="1:3" ht="14.25" customHeight="1">
      <c r="A62" t="s">
        <v>36</v>
      </c>
      <c r="B62">
        <v>61</v>
      </c>
      <c r="C62" t="s">
        <v>97</v>
      </c>
    </row>
    <row r="63" spans="1:3" ht="14.25" customHeight="1">
      <c r="A63" t="s">
        <v>36</v>
      </c>
      <c r="B63">
        <v>62</v>
      </c>
      <c r="C63" t="s">
        <v>98</v>
      </c>
    </row>
    <row r="64" spans="1:3" ht="14.25" customHeight="1">
      <c r="A64" t="s">
        <v>36</v>
      </c>
      <c r="B64">
        <v>63</v>
      </c>
      <c r="C64" t="s">
        <v>99</v>
      </c>
    </row>
    <row r="65" spans="1:3" ht="14.25" customHeight="1">
      <c r="A65" t="s">
        <v>36</v>
      </c>
      <c r="B65">
        <v>64</v>
      </c>
      <c r="C65" t="s">
        <v>100</v>
      </c>
    </row>
    <row r="66" spans="1:3" ht="14.25" customHeight="1">
      <c r="A66" t="s">
        <v>36</v>
      </c>
      <c r="B66">
        <v>65</v>
      </c>
      <c r="C66" t="s">
        <v>101</v>
      </c>
    </row>
    <row r="67" spans="1:3" ht="14.25" customHeight="1">
      <c r="A67" t="s">
        <v>36</v>
      </c>
      <c r="B67">
        <v>66</v>
      </c>
      <c r="C67" t="s">
        <v>102</v>
      </c>
    </row>
    <row r="68" spans="1:3" ht="14.25" customHeight="1">
      <c r="A68" t="s">
        <v>36</v>
      </c>
      <c r="B68">
        <v>67</v>
      </c>
      <c r="C68" t="s">
        <v>103</v>
      </c>
    </row>
    <row r="69" spans="1:3" ht="14.25" customHeight="1">
      <c r="A69" t="s">
        <v>36</v>
      </c>
      <c r="B69">
        <v>68</v>
      </c>
      <c r="C69" t="s">
        <v>104</v>
      </c>
    </row>
    <row r="70" spans="1:3" ht="14.25" customHeight="1">
      <c r="A70" t="s">
        <v>36</v>
      </c>
      <c r="B70">
        <v>69</v>
      </c>
      <c r="C70" t="s">
        <v>105</v>
      </c>
    </row>
    <row r="71" spans="1:3" ht="14.25" customHeight="1">
      <c r="A71" t="s">
        <v>36</v>
      </c>
      <c r="B71">
        <v>70</v>
      </c>
      <c r="C71" t="s">
        <v>106</v>
      </c>
    </row>
    <row r="72" spans="1:3" ht="14.25" customHeight="1">
      <c r="A72" t="s">
        <v>36</v>
      </c>
      <c r="B72">
        <v>71</v>
      </c>
      <c r="C72" t="s">
        <v>107</v>
      </c>
    </row>
    <row r="73" spans="1:3" ht="14.25" customHeight="1">
      <c r="A73" t="s">
        <v>36</v>
      </c>
      <c r="B73">
        <v>72</v>
      </c>
      <c r="C73" t="s">
        <v>108</v>
      </c>
    </row>
    <row r="74" spans="1:3" ht="14.25" customHeight="1">
      <c r="A74" t="s">
        <v>36</v>
      </c>
      <c r="B74">
        <v>73</v>
      </c>
      <c r="C74" t="s">
        <v>109</v>
      </c>
    </row>
    <row r="75" spans="1:3" ht="14.25" customHeight="1">
      <c r="A75" t="s">
        <v>36</v>
      </c>
      <c r="B75">
        <v>74</v>
      </c>
      <c r="C75" t="s">
        <v>110</v>
      </c>
    </row>
    <row r="76" spans="1:3" ht="14.25" customHeight="1">
      <c r="A76" t="s">
        <v>36</v>
      </c>
      <c r="B76">
        <v>75</v>
      </c>
      <c r="C76" t="s">
        <v>111</v>
      </c>
    </row>
    <row r="77" spans="1:3" ht="14.25" customHeight="1">
      <c r="A77" t="s">
        <v>36</v>
      </c>
      <c r="B77">
        <v>76</v>
      </c>
      <c r="C77" t="s">
        <v>112</v>
      </c>
    </row>
    <row r="78" spans="1:3" ht="14.25" customHeight="1">
      <c r="A78" t="s">
        <v>36</v>
      </c>
      <c r="B78">
        <v>77</v>
      </c>
      <c r="C78" t="s">
        <v>113</v>
      </c>
    </row>
    <row r="79" spans="1:3" ht="14.25" customHeight="1">
      <c r="A79" t="s">
        <v>36</v>
      </c>
      <c r="B79">
        <v>78</v>
      </c>
      <c r="C79" t="s">
        <v>114</v>
      </c>
    </row>
    <row r="80" spans="1:3" ht="14.25" customHeight="1">
      <c r="A80" t="s">
        <v>36</v>
      </c>
      <c r="B80">
        <v>79</v>
      </c>
      <c r="C80" t="s">
        <v>115</v>
      </c>
    </row>
    <row r="81" spans="1:3" ht="14.25" customHeight="1">
      <c r="A81" t="s">
        <v>36</v>
      </c>
      <c r="B81">
        <v>80</v>
      </c>
      <c r="C81" t="s">
        <v>116</v>
      </c>
    </row>
    <row r="82" spans="1:3" ht="14.25" customHeight="1">
      <c r="A82" t="s">
        <v>36</v>
      </c>
      <c r="B82">
        <v>81</v>
      </c>
      <c r="C82" t="s">
        <v>117</v>
      </c>
    </row>
    <row r="83" spans="1:3" ht="14.25" customHeight="1">
      <c r="A83" t="s">
        <v>36</v>
      </c>
      <c r="B83">
        <v>82</v>
      </c>
      <c r="C83" t="s">
        <v>118</v>
      </c>
    </row>
    <row r="84" spans="1:3" ht="14.25" customHeight="1">
      <c r="A84" t="s">
        <v>36</v>
      </c>
      <c r="B84">
        <v>83</v>
      </c>
      <c r="C84" t="s">
        <v>119</v>
      </c>
    </row>
    <row r="85" spans="1:3" ht="14.25" customHeight="1">
      <c r="A85" t="s">
        <v>36</v>
      </c>
      <c r="B85">
        <v>84</v>
      </c>
      <c r="C85" t="s">
        <v>120</v>
      </c>
    </row>
    <row r="86" spans="1:3" ht="14.25" customHeight="1">
      <c r="A86" t="s">
        <v>36</v>
      </c>
      <c r="B86">
        <v>85</v>
      </c>
      <c r="C86" t="s">
        <v>121</v>
      </c>
    </row>
    <row r="87" spans="1:3" ht="14.25" customHeight="1">
      <c r="A87" t="s">
        <v>36</v>
      </c>
      <c r="B87">
        <v>86</v>
      </c>
      <c r="C87" t="s">
        <v>122</v>
      </c>
    </row>
    <row r="88" spans="1:3" ht="14.25" customHeight="1">
      <c r="A88" t="s">
        <v>36</v>
      </c>
      <c r="B88">
        <v>87</v>
      </c>
      <c r="C88" t="s">
        <v>123</v>
      </c>
    </row>
    <row r="89" spans="1:3" ht="14.25" customHeight="1">
      <c r="A89" t="s">
        <v>36</v>
      </c>
      <c r="B89">
        <v>88</v>
      </c>
      <c r="C89" t="s">
        <v>124</v>
      </c>
    </row>
    <row r="90" spans="1:3" ht="14.25" customHeight="1">
      <c r="A90" t="s">
        <v>36</v>
      </c>
      <c r="B90">
        <v>89</v>
      </c>
      <c r="C90" t="s">
        <v>125</v>
      </c>
    </row>
    <row r="91" spans="1:3" ht="14.25" customHeight="1">
      <c r="A91" t="s">
        <v>36</v>
      </c>
      <c r="B91">
        <v>90</v>
      </c>
      <c r="C91" t="s">
        <v>126</v>
      </c>
    </row>
    <row r="92" spans="1:3" ht="14.25" customHeight="1">
      <c r="A92" t="s">
        <v>36</v>
      </c>
      <c r="B92">
        <v>91</v>
      </c>
      <c r="C92" t="s">
        <v>127</v>
      </c>
    </row>
    <row r="93" spans="1:3" ht="14.25" customHeight="1">
      <c r="A93" t="s">
        <v>36</v>
      </c>
      <c r="B93">
        <v>92</v>
      </c>
      <c r="C93" t="s">
        <v>128</v>
      </c>
    </row>
    <row r="94" spans="1:3" ht="14.25" customHeight="1">
      <c r="A94" t="s">
        <v>36</v>
      </c>
      <c r="B94">
        <v>93</v>
      </c>
      <c r="C94" t="s">
        <v>129</v>
      </c>
    </row>
    <row r="95" spans="1:3" ht="14.25" customHeight="1">
      <c r="A95" t="s">
        <v>36</v>
      </c>
      <c r="B95">
        <v>94</v>
      </c>
      <c r="C95" t="s">
        <v>130</v>
      </c>
    </row>
    <row r="96" spans="1:3" ht="14.25" customHeight="1">
      <c r="A96" t="s">
        <v>36</v>
      </c>
      <c r="B96">
        <v>95</v>
      </c>
      <c r="C96" t="s">
        <v>131</v>
      </c>
    </row>
    <row r="97" spans="1:3" ht="14.25" customHeight="1">
      <c r="A97" t="s">
        <v>36</v>
      </c>
      <c r="B97">
        <v>96</v>
      </c>
      <c r="C97" t="s">
        <v>132</v>
      </c>
    </row>
    <row r="98" spans="1:3" ht="14.25" customHeight="1">
      <c r="A98" t="s">
        <v>36</v>
      </c>
      <c r="B98">
        <v>97</v>
      </c>
      <c r="C98" t="s">
        <v>133</v>
      </c>
    </row>
    <row r="99" spans="1:3" ht="14.25" customHeight="1">
      <c r="A99" t="s">
        <v>36</v>
      </c>
      <c r="B99">
        <v>98</v>
      </c>
      <c r="C99" t="s">
        <v>134</v>
      </c>
    </row>
    <row r="100" spans="1:3" ht="14.25" customHeight="1">
      <c r="A100" t="s">
        <v>36</v>
      </c>
      <c r="B100">
        <v>99</v>
      </c>
      <c r="C100" t="s">
        <v>135</v>
      </c>
    </row>
    <row r="101" spans="1:3" ht="14.25" customHeight="1">
      <c r="A101" t="s">
        <v>36</v>
      </c>
      <c r="B101">
        <v>100</v>
      </c>
      <c r="C101" t="s">
        <v>136</v>
      </c>
    </row>
    <row r="102" spans="1:3" ht="14.25" customHeight="1">
      <c r="A102" t="s">
        <v>36</v>
      </c>
      <c r="B102">
        <v>101</v>
      </c>
      <c r="C102" t="s">
        <v>137</v>
      </c>
    </row>
    <row r="103" spans="1:3" ht="14.25" customHeight="1">
      <c r="A103" t="s">
        <v>36</v>
      </c>
      <c r="B103">
        <v>102</v>
      </c>
      <c r="C103" t="s">
        <v>138</v>
      </c>
    </row>
    <row r="104" spans="1:3" ht="14.25" customHeight="1">
      <c r="A104" t="s">
        <v>36</v>
      </c>
      <c r="B104">
        <v>103</v>
      </c>
      <c r="C104" t="s">
        <v>139</v>
      </c>
    </row>
    <row r="105" spans="1:3" ht="14.25" customHeight="1">
      <c r="A105" t="s">
        <v>36</v>
      </c>
      <c r="B105">
        <v>104</v>
      </c>
      <c r="C105" t="s">
        <v>140</v>
      </c>
    </row>
    <row r="106" spans="1:3" ht="14.25" customHeight="1">
      <c r="A106" t="s">
        <v>36</v>
      </c>
      <c r="B106">
        <v>105</v>
      </c>
      <c r="C106" t="s">
        <v>141</v>
      </c>
    </row>
    <row r="107" spans="1:3" ht="14.25" customHeight="1">
      <c r="A107" t="s">
        <v>36</v>
      </c>
      <c r="B107">
        <v>106</v>
      </c>
      <c r="C107" t="s">
        <v>142</v>
      </c>
    </row>
    <row r="108" spans="1:3" ht="14.25" customHeight="1">
      <c r="A108" t="s">
        <v>36</v>
      </c>
      <c r="B108">
        <v>107</v>
      </c>
      <c r="C108" t="s">
        <v>143</v>
      </c>
    </row>
    <row r="109" spans="1:3" ht="14.25" customHeight="1">
      <c r="A109" t="s">
        <v>36</v>
      </c>
      <c r="B109">
        <v>108</v>
      </c>
      <c r="C109" t="s">
        <v>144</v>
      </c>
    </row>
    <row r="110" spans="1:3" ht="14.25" customHeight="1">
      <c r="A110" t="s">
        <v>36</v>
      </c>
      <c r="B110">
        <v>109</v>
      </c>
      <c r="C110" t="s">
        <v>145</v>
      </c>
    </row>
    <row r="111" spans="1:3" ht="14.25" customHeight="1">
      <c r="A111" t="s">
        <v>36</v>
      </c>
      <c r="B111">
        <v>110</v>
      </c>
      <c r="C111" t="s">
        <v>146</v>
      </c>
    </row>
    <row r="112" spans="1:3" ht="14.25" customHeight="1">
      <c r="A112" t="s">
        <v>36</v>
      </c>
      <c r="B112">
        <v>111</v>
      </c>
      <c r="C112" t="s">
        <v>147</v>
      </c>
    </row>
    <row r="113" spans="1:3" ht="14.25" customHeight="1">
      <c r="A113" t="s">
        <v>36</v>
      </c>
      <c r="B113">
        <v>112</v>
      </c>
      <c r="C113" t="s">
        <v>148</v>
      </c>
    </row>
    <row r="114" spans="1:3" ht="14.25" customHeight="1">
      <c r="A114" t="s">
        <v>36</v>
      </c>
      <c r="B114">
        <v>113</v>
      </c>
      <c r="C114" t="s">
        <v>149</v>
      </c>
    </row>
    <row r="115" spans="1:3" ht="14.25" customHeight="1">
      <c r="A115" t="s">
        <v>36</v>
      </c>
      <c r="B115">
        <v>114</v>
      </c>
      <c r="C115" t="s">
        <v>150</v>
      </c>
    </row>
    <row r="116" spans="1:3" ht="14.25" customHeight="1">
      <c r="A116" t="s">
        <v>36</v>
      </c>
      <c r="B116">
        <v>115</v>
      </c>
      <c r="C116" t="s">
        <v>151</v>
      </c>
    </row>
    <row r="117" spans="1:3" ht="14.25" customHeight="1">
      <c r="A117" t="s">
        <v>36</v>
      </c>
      <c r="B117">
        <v>116</v>
      </c>
      <c r="C117" t="s">
        <v>152</v>
      </c>
    </row>
    <row r="118" spans="1:3" ht="14.25" customHeight="1">
      <c r="A118" t="s">
        <v>36</v>
      </c>
      <c r="B118">
        <v>117</v>
      </c>
      <c r="C118" t="s">
        <v>153</v>
      </c>
    </row>
    <row r="119" spans="1:3" ht="14.25" customHeight="1">
      <c r="A119" t="s">
        <v>36</v>
      </c>
      <c r="B119">
        <v>118</v>
      </c>
      <c r="C119" t="s">
        <v>154</v>
      </c>
    </row>
    <row r="120" spans="1:3" ht="14.25" customHeight="1">
      <c r="A120" t="s">
        <v>36</v>
      </c>
      <c r="B120">
        <v>119</v>
      </c>
      <c r="C120" t="s">
        <v>155</v>
      </c>
    </row>
    <row r="121" spans="1:3" ht="14.25" customHeight="1">
      <c r="A121" t="s">
        <v>36</v>
      </c>
      <c r="B121">
        <v>120</v>
      </c>
      <c r="C121" t="s">
        <v>156</v>
      </c>
    </row>
    <row r="122" spans="1:3" ht="14.25" customHeight="1">
      <c r="A122" t="s">
        <v>157</v>
      </c>
      <c r="B122">
        <v>1</v>
      </c>
      <c r="C122" t="s">
        <v>158</v>
      </c>
    </row>
    <row r="123" spans="1:3" ht="14.25" customHeight="1">
      <c r="A123" t="s">
        <v>157</v>
      </c>
      <c r="B123">
        <v>2</v>
      </c>
      <c r="C123" t="s">
        <v>159</v>
      </c>
    </row>
    <row r="124" spans="1:3" ht="14.25" customHeight="1">
      <c r="A124" t="s">
        <v>157</v>
      </c>
      <c r="B124">
        <v>3</v>
      </c>
      <c r="C124" t="s">
        <v>160</v>
      </c>
    </row>
    <row r="125" spans="1:3" ht="14.25" customHeight="1">
      <c r="A125" t="s">
        <v>157</v>
      </c>
      <c r="B125">
        <v>4</v>
      </c>
      <c r="C125" t="s">
        <v>161</v>
      </c>
    </row>
    <row r="126" spans="1:3" ht="14.25" customHeight="1">
      <c r="A126" t="s">
        <v>157</v>
      </c>
      <c r="B126">
        <v>5</v>
      </c>
      <c r="C126" t="s">
        <v>162</v>
      </c>
    </row>
    <row r="127" spans="1:3" ht="14.25" customHeight="1">
      <c r="A127" t="s">
        <v>157</v>
      </c>
      <c r="B127">
        <v>6</v>
      </c>
      <c r="C127" t="s">
        <v>163</v>
      </c>
    </row>
    <row r="128" spans="1:3" ht="14.25" customHeight="1">
      <c r="A128" t="s">
        <v>157</v>
      </c>
      <c r="B128">
        <v>7</v>
      </c>
      <c r="C128" t="s">
        <v>164</v>
      </c>
    </row>
    <row r="129" spans="1:3" ht="14.25" customHeight="1">
      <c r="A129" t="s">
        <v>157</v>
      </c>
      <c r="B129">
        <v>8</v>
      </c>
      <c r="C129" t="s">
        <v>165</v>
      </c>
    </row>
    <row r="130" spans="1:3" ht="14.25" customHeight="1">
      <c r="A130" t="s">
        <v>157</v>
      </c>
      <c r="B130">
        <v>9</v>
      </c>
      <c r="C130" t="s">
        <v>166</v>
      </c>
    </row>
    <row r="131" spans="1:3" ht="14.25" customHeight="1">
      <c r="A131" t="s">
        <v>157</v>
      </c>
      <c r="B131">
        <v>10</v>
      </c>
      <c r="C131" t="s">
        <v>167</v>
      </c>
    </row>
    <row r="132" spans="1:3" ht="14.25" customHeight="1">
      <c r="A132" t="s">
        <v>157</v>
      </c>
      <c r="B132">
        <v>11</v>
      </c>
      <c r="C132" t="s">
        <v>168</v>
      </c>
    </row>
    <row r="133" spans="1:3" ht="14.25" customHeight="1">
      <c r="A133" t="s">
        <v>157</v>
      </c>
      <c r="B133">
        <v>12</v>
      </c>
      <c r="C133" t="s">
        <v>169</v>
      </c>
    </row>
    <row r="134" spans="1:3" ht="14.25" customHeight="1">
      <c r="A134" t="s">
        <v>157</v>
      </c>
      <c r="B134">
        <v>13</v>
      </c>
      <c r="C134" t="s">
        <v>170</v>
      </c>
    </row>
    <row r="135" spans="1:3" ht="14.25" customHeight="1">
      <c r="A135" t="s">
        <v>157</v>
      </c>
      <c r="B135">
        <v>14</v>
      </c>
      <c r="C135" t="s">
        <v>171</v>
      </c>
    </row>
    <row r="136" spans="1:3" ht="14.25" customHeight="1">
      <c r="A136" t="s">
        <v>157</v>
      </c>
      <c r="B136">
        <v>15</v>
      </c>
      <c r="C136" t="s">
        <v>172</v>
      </c>
    </row>
    <row r="137" spans="1:3" ht="14.25" customHeight="1">
      <c r="A137" t="s">
        <v>157</v>
      </c>
      <c r="B137">
        <v>16</v>
      </c>
      <c r="C137" t="s">
        <v>173</v>
      </c>
    </row>
    <row r="138" spans="1:3" ht="14.25" customHeight="1">
      <c r="A138" t="s">
        <v>157</v>
      </c>
      <c r="B138">
        <v>17</v>
      </c>
      <c r="C138" t="s">
        <v>174</v>
      </c>
    </row>
    <row r="139" spans="1:3" ht="14.25" customHeight="1">
      <c r="A139" t="s">
        <v>157</v>
      </c>
      <c r="B139">
        <v>18</v>
      </c>
      <c r="C139" t="s">
        <v>175</v>
      </c>
    </row>
    <row r="140" spans="1:3" ht="14.25" customHeight="1">
      <c r="A140" t="s">
        <v>157</v>
      </c>
      <c r="B140">
        <v>19</v>
      </c>
      <c r="C140" t="s">
        <v>176</v>
      </c>
    </row>
    <row r="141" spans="1:3" ht="14.25" customHeight="1">
      <c r="A141" t="s">
        <v>157</v>
      </c>
      <c r="B141">
        <v>20</v>
      </c>
      <c r="C141" t="s">
        <v>177</v>
      </c>
    </row>
    <row r="142" spans="1:3" ht="14.25" customHeight="1">
      <c r="A142" t="s">
        <v>157</v>
      </c>
      <c r="B142">
        <v>21</v>
      </c>
      <c r="C142" t="s">
        <v>178</v>
      </c>
    </row>
    <row r="143" spans="1:3" ht="14.25" customHeight="1">
      <c r="A143" t="s">
        <v>157</v>
      </c>
      <c r="B143">
        <v>22</v>
      </c>
      <c r="C143" t="s">
        <v>179</v>
      </c>
    </row>
    <row r="144" spans="1:3" ht="14.25" customHeight="1">
      <c r="A144" t="s">
        <v>157</v>
      </c>
      <c r="B144">
        <v>23</v>
      </c>
      <c r="C144" t="s">
        <v>180</v>
      </c>
    </row>
    <row r="145" spans="1:3" ht="14.25" customHeight="1">
      <c r="A145" t="s">
        <v>157</v>
      </c>
      <c r="B145">
        <v>24</v>
      </c>
      <c r="C145" t="s">
        <v>181</v>
      </c>
    </row>
    <row r="146" spans="1:3" ht="14.25" customHeight="1">
      <c r="A146" t="s">
        <v>157</v>
      </c>
      <c r="B146">
        <v>25</v>
      </c>
      <c r="C146" t="s">
        <v>182</v>
      </c>
    </row>
    <row r="147" spans="1:3" ht="14.25" customHeight="1">
      <c r="A147" t="s">
        <v>157</v>
      </c>
      <c r="B147">
        <v>26</v>
      </c>
      <c r="C147" t="s">
        <v>183</v>
      </c>
    </row>
    <row r="148" spans="1:3" ht="14.25" customHeight="1">
      <c r="A148" t="s">
        <v>157</v>
      </c>
      <c r="B148">
        <v>27</v>
      </c>
      <c r="C148" t="s">
        <v>184</v>
      </c>
    </row>
    <row r="149" spans="1:3" ht="14.25" customHeight="1">
      <c r="A149" t="s">
        <v>185</v>
      </c>
      <c r="B149">
        <v>1</v>
      </c>
      <c r="C149" t="s">
        <v>186</v>
      </c>
    </row>
    <row r="150" spans="1:3" ht="14.25" customHeight="1">
      <c r="A150" t="s">
        <v>185</v>
      </c>
      <c r="B150">
        <v>2</v>
      </c>
      <c r="C150" t="s">
        <v>187</v>
      </c>
    </row>
    <row r="151" spans="1:3" ht="14.25" customHeight="1">
      <c r="A151" t="s">
        <v>185</v>
      </c>
      <c r="B151">
        <v>3</v>
      </c>
      <c r="C151" t="s">
        <v>188</v>
      </c>
    </row>
    <row r="152" spans="1:3" ht="14.25" customHeight="1">
      <c r="A152" t="s">
        <v>185</v>
      </c>
      <c r="B152">
        <v>4</v>
      </c>
      <c r="C152" t="s">
        <v>189</v>
      </c>
    </row>
    <row r="153" spans="1:3" ht="14.25" customHeight="1">
      <c r="A153" t="s">
        <v>185</v>
      </c>
      <c r="B153">
        <v>5</v>
      </c>
      <c r="C153" t="s">
        <v>190</v>
      </c>
    </row>
    <row r="154" spans="1:3" ht="14.25" customHeight="1">
      <c r="A154" t="s">
        <v>185</v>
      </c>
      <c r="B154">
        <v>6</v>
      </c>
      <c r="C154" t="s">
        <v>191</v>
      </c>
    </row>
    <row r="155" spans="1:3" ht="14.25" customHeight="1">
      <c r="A155" t="s">
        <v>185</v>
      </c>
      <c r="B155">
        <v>7</v>
      </c>
      <c r="C155" t="s">
        <v>192</v>
      </c>
    </row>
    <row r="156" spans="1:3" ht="14.25" customHeight="1">
      <c r="A156" t="s">
        <v>185</v>
      </c>
      <c r="B156">
        <v>8</v>
      </c>
      <c r="C156" t="s">
        <v>193</v>
      </c>
    </row>
    <row r="157" spans="1:3" ht="14.25" customHeight="1">
      <c r="A157" t="s">
        <v>185</v>
      </c>
      <c r="B157">
        <v>9</v>
      </c>
      <c r="C157" t="s">
        <v>194</v>
      </c>
    </row>
    <row r="158" spans="1:3" ht="14.25" customHeight="1">
      <c r="A158" t="s">
        <v>185</v>
      </c>
      <c r="B158">
        <v>10</v>
      </c>
      <c r="C158" t="s">
        <v>195</v>
      </c>
    </row>
    <row r="159" spans="1:3" ht="14.25" customHeight="1">
      <c r="A159" t="s">
        <v>185</v>
      </c>
      <c r="B159">
        <v>11</v>
      </c>
      <c r="C159" t="s">
        <v>196</v>
      </c>
    </row>
    <row r="160" spans="1:3" ht="14.25" customHeight="1">
      <c r="A160" t="s">
        <v>185</v>
      </c>
      <c r="B160">
        <v>12</v>
      </c>
      <c r="C160" t="s">
        <v>197</v>
      </c>
    </row>
    <row r="161" spans="1:3" ht="14.25" customHeight="1">
      <c r="A161" t="s">
        <v>185</v>
      </c>
      <c r="B161">
        <v>13</v>
      </c>
      <c r="C161" t="s">
        <v>198</v>
      </c>
    </row>
    <row r="162" spans="1:3" ht="14.25" customHeight="1">
      <c r="A162" t="s">
        <v>185</v>
      </c>
      <c r="B162">
        <v>14</v>
      </c>
      <c r="C162" t="s">
        <v>199</v>
      </c>
    </row>
    <row r="163" spans="1:3" ht="14.25" customHeight="1">
      <c r="A163" t="s">
        <v>185</v>
      </c>
      <c r="B163">
        <v>15</v>
      </c>
      <c r="C163" t="s">
        <v>200</v>
      </c>
    </row>
    <row r="164" spans="1:3" ht="14.25" customHeight="1">
      <c r="A164" t="s">
        <v>185</v>
      </c>
      <c r="B164">
        <v>16</v>
      </c>
      <c r="C164" t="s">
        <v>201</v>
      </c>
    </row>
    <row r="165" spans="1:3" ht="14.25" customHeight="1">
      <c r="A165" t="s">
        <v>185</v>
      </c>
      <c r="B165">
        <v>17</v>
      </c>
      <c r="C165" t="s">
        <v>202</v>
      </c>
    </row>
    <row r="166" spans="1:3" ht="14.25" customHeight="1">
      <c r="A166" t="s">
        <v>185</v>
      </c>
      <c r="B166">
        <v>18</v>
      </c>
      <c r="C166" t="s">
        <v>203</v>
      </c>
    </row>
    <row r="167" spans="1:3" ht="14.25" customHeight="1">
      <c r="A167" t="s">
        <v>185</v>
      </c>
      <c r="B167">
        <v>19</v>
      </c>
      <c r="C167" t="s">
        <v>204</v>
      </c>
    </row>
    <row r="168" spans="1:3" ht="14.25" customHeight="1">
      <c r="A168" t="s">
        <v>185</v>
      </c>
      <c r="B168">
        <v>20</v>
      </c>
      <c r="C168" t="s">
        <v>205</v>
      </c>
    </row>
    <row r="169" spans="1:3" ht="14.25" customHeight="1">
      <c r="A169" t="s">
        <v>206</v>
      </c>
      <c r="B169">
        <v>1</v>
      </c>
      <c r="C169" t="s">
        <v>207</v>
      </c>
    </row>
    <row r="170" spans="1:3" ht="14.25" customHeight="1">
      <c r="A170" t="s">
        <v>206</v>
      </c>
      <c r="B170">
        <v>2</v>
      </c>
      <c r="C170" t="s">
        <v>208</v>
      </c>
    </row>
    <row r="171" spans="1:3" ht="14.25" customHeight="1">
      <c r="A171" t="s">
        <v>206</v>
      </c>
      <c r="B171">
        <v>3</v>
      </c>
      <c r="C171" t="s">
        <v>209</v>
      </c>
    </row>
    <row r="172" spans="1:3" ht="14.25" customHeight="1">
      <c r="A172" t="s">
        <v>206</v>
      </c>
      <c r="B172">
        <v>4</v>
      </c>
      <c r="C172" t="s">
        <v>210</v>
      </c>
    </row>
    <row r="173" spans="1:3" ht="14.25" customHeight="1">
      <c r="A173" t="s">
        <v>206</v>
      </c>
      <c r="B173">
        <v>5</v>
      </c>
      <c r="C173" t="s">
        <v>211</v>
      </c>
    </row>
    <row r="174" spans="1:3" ht="14.25" customHeight="1">
      <c r="A174" t="s">
        <v>206</v>
      </c>
      <c r="B174">
        <v>6</v>
      </c>
      <c r="C174" t="s">
        <v>212</v>
      </c>
    </row>
    <row r="175" spans="1:3" ht="14.25" customHeight="1">
      <c r="A175" t="s">
        <v>206</v>
      </c>
      <c r="B175">
        <v>7</v>
      </c>
      <c r="C175" t="s">
        <v>213</v>
      </c>
    </row>
    <row r="176" spans="1:3" ht="14.25" customHeight="1">
      <c r="A176" t="s">
        <v>206</v>
      </c>
      <c r="B176">
        <v>8</v>
      </c>
      <c r="C176" t="s">
        <v>214</v>
      </c>
    </row>
    <row r="177" spans="1:3" ht="14.25" customHeight="1">
      <c r="A177" t="s">
        <v>206</v>
      </c>
      <c r="B177">
        <v>9</v>
      </c>
      <c r="C177" t="s">
        <v>215</v>
      </c>
    </row>
    <row r="178" spans="1:3" ht="14.25" customHeight="1">
      <c r="A178" t="s">
        <v>206</v>
      </c>
      <c r="B178">
        <v>10</v>
      </c>
      <c r="C178" t="s">
        <v>216</v>
      </c>
    </row>
    <row r="179" spans="1:3" ht="14.25" customHeight="1">
      <c r="A179" t="s">
        <v>206</v>
      </c>
      <c r="B179">
        <v>11</v>
      </c>
      <c r="C179" t="s">
        <v>217</v>
      </c>
    </row>
    <row r="180" spans="1:3" ht="14.25" customHeight="1">
      <c r="A180" t="s">
        <v>206</v>
      </c>
      <c r="B180">
        <v>12</v>
      </c>
      <c r="C180" t="s">
        <v>218</v>
      </c>
    </row>
    <row r="181" spans="1:3" ht="14.25" customHeight="1">
      <c r="A181" t="s">
        <v>206</v>
      </c>
      <c r="B181">
        <v>13</v>
      </c>
      <c r="C181" t="s">
        <v>219</v>
      </c>
    </row>
    <row r="182" spans="1:3" ht="14.25" customHeight="1">
      <c r="A182" t="s">
        <v>206</v>
      </c>
      <c r="B182">
        <v>14</v>
      </c>
      <c r="C182" t="s">
        <v>220</v>
      </c>
    </row>
    <row r="183" spans="1:3" ht="14.25" customHeight="1">
      <c r="A183" t="s">
        <v>206</v>
      </c>
      <c r="B183">
        <v>15</v>
      </c>
      <c r="C183" t="s">
        <v>221</v>
      </c>
    </row>
    <row r="184" spans="1:3" ht="14.25" customHeight="1">
      <c r="A184" t="s">
        <v>206</v>
      </c>
      <c r="B184">
        <v>16</v>
      </c>
      <c r="C184" t="s">
        <v>222</v>
      </c>
    </row>
    <row r="185" spans="1:3" ht="14.25" customHeight="1">
      <c r="A185" t="s">
        <v>206</v>
      </c>
      <c r="B185">
        <v>17</v>
      </c>
      <c r="C185" t="s">
        <v>223</v>
      </c>
    </row>
    <row r="186" spans="1:3" ht="14.25" customHeight="1">
      <c r="A186" t="s">
        <v>206</v>
      </c>
      <c r="B186">
        <v>18</v>
      </c>
      <c r="C186" t="s">
        <v>224</v>
      </c>
    </row>
    <row r="187" spans="1:3" ht="14.25" customHeight="1">
      <c r="A187" t="s">
        <v>206</v>
      </c>
      <c r="B187">
        <v>19</v>
      </c>
      <c r="C187" t="s">
        <v>225</v>
      </c>
    </row>
    <row r="188" spans="1:3" ht="14.25" customHeight="1">
      <c r="A188" t="s">
        <v>206</v>
      </c>
      <c r="B188">
        <v>20</v>
      </c>
      <c r="C188" t="s">
        <v>226</v>
      </c>
    </row>
    <row r="189" spans="1:3" ht="14.25" customHeight="1">
      <c r="A189" t="s">
        <v>206</v>
      </c>
      <c r="B189">
        <v>21</v>
      </c>
      <c r="C189" t="s">
        <v>227</v>
      </c>
    </row>
    <row r="190" spans="1:3" ht="14.25" customHeight="1">
      <c r="A190" t="s">
        <v>206</v>
      </c>
      <c r="B190">
        <v>22</v>
      </c>
      <c r="C190" t="s">
        <v>228</v>
      </c>
    </row>
    <row r="191" spans="1:3" ht="14.25" customHeight="1">
      <c r="A191" t="s">
        <v>206</v>
      </c>
      <c r="B191">
        <v>23</v>
      </c>
      <c r="C191" t="s">
        <v>229</v>
      </c>
    </row>
    <row r="192" spans="1:3" ht="14.25" customHeight="1">
      <c r="A192" t="s">
        <v>206</v>
      </c>
      <c r="B192">
        <v>24</v>
      </c>
      <c r="C192" t="s">
        <v>230</v>
      </c>
    </row>
    <row r="193" spans="1:3" ht="14.25" customHeight="1">
      <c r="A193" t="s">
        <v>206</v>
      </c>
      <c r="B193">
        <v>25</v>
      </c>
      <c r="C193" t="s">
        <v>231</v>
      </c>
    </row>
    <row r="194" spans="1:3" ht="14.25" customHeight="1">
      <c r="A194" t="s">
        <v>206</v>
      </c>
      <c r="B194">
        <v>26</v>
      </c>
      <c r="C194" t="s">
        <v>232</v>
      </c>
    </row>
    <row r="195" spans="1:3" ht="14.25" customHeight="1">
      <c r="A195" t="s">
        <v>206</v>
      </c>
      <c r="B195">
        <v>27</v>
      </c>
      <c r="C195" t="s">
        <v>233</v>
      </c>
    </row>
    <row r="196" spans="1:3" ht="14.25" customHeight="1">
      <c r="A196" t="s">
        <v>206</v>
      </c>
      <c r="B196">
        <v>28</v>
      </c>
      <c r="C196" t="s">
        <v>234</v>
      </c>
    </row>
    <row r="197" spans="1:3" ht="14.25" customHeight="1">
      <c r="A197" t="s">
        <v>206</v>
      </c>
      <c r="B197">
        <v>29</v>
      </c>
      <c r="C197" t="s">
        <v>235</v>
      </c>
    </row>
    <row r="198" spans="1:3" ht="14.25" customHeight="1">
      <c r="A198" t="s">
        <v>206</v>
      </c>
      <c r="B198">
        <v>30</v>
      </c>
      <c r="C198" t="s">
        <v>236</v>
      </c>
    </row>
    <row r="199" spans="1:3" ht="14.25" customHeight="1">
      <c r="A199" t="s">
        <v>206</v>
      </c>
      <c r="B199">
        <v>31</v>
      </c>
      <c r="C199" t="s">
        <v>237</v>
      </c>
    </row>
    <row r="200" spans="1:3" ht="14.25" customHeight="1">
      <c r="A200" t="s">
        <v>206</v>
      </c>
      <c r="B200">
        <v>32</v>
      </c>
      <c r="C200" t="s">
        <v>238</v>
      </c>
    </row>
    <row r="201" spans="1:3" ht="14.25" customHeight="1">
      <c r="A201" t="s">
        <v>206</v>
      </c>
      <c r="B201">
        <v>33</v>
      </c>
      <c r="C201" t="s">
        <v>239</v>
      </c>
    </row>
    <row r="202" spans="1:3" ht="14.25" customHeight="1">
      <c r="A202" t="s">
        <v>206</v>
      </c>
      <c r="B202">
        <v>34</v>
      </c>
      <c r="C202" t="s">
        <v>240</v>
      </c>
    </row>
    <row r="203" spans="1:3" ht="14.25" customHeight="1">
      <c r="A203" t="s">
        <v>206</v>
      </c>
      <c r="B203">
        <v>35</v>
      </c>
      <c r="C203" t="s">
        <v>241</v>
      </c>
    </row>
    <row r="204" spans="1:3" ht="14.25" customHeight="1">
      <c r="A204" t="s">
        <v>206</v>
      </c>
      <c r="B204">
        <v>36</v>
      </c>
      <c r="C204" t="s">
        <v>242</v>
      </c>
    </row>
    <row r="205" spans="1:3" ht="14.25" customHeight="1">
      <c r="A205" t="s">
        <v>206</v>
      </c>
      <c r="B205">
        <v>37</v>
      </c>
      <c r="C205" t="s">
        <v>243</v>
      </c>
    </row>
    <row r="206" spans="1:3" ht="14.25" customHeight="1">
      <c r="A206" t="s">
        <v>206</v>
      </c>
      <c r="B206">
        <v>38</v>
      </c>
      <c r="C206" t="s">
        <v>244</v>
      </c>
    </row>
    <row r="207" spans="1:3" ht="14.25" customHeight="1">
      <c r="A207" t="s">
        <v>206</v>
      </c>
      <c r="B207">
        <v>39</v>
      </c>
      <c r="C207" t="s">
        <v>245</v>
      </c>
    </row>
    <row r="208" spans="1:3" ht="14.25" customHeight="1">
      <c r="A208" t="s">
        <v>206</v>
      </c>
      <c r="B208">
        <v>40</v>
      </c>
      <c r="C208" t="s">
        <v>246</v>
      </c>
    </row>
    <row r="209" spans="1:3" ht="14.25" customHeight="1">
      <c r="A209" t="s">
        <v>206</v>
      </c>
      <c r="B209">
        <v>41</v>
      </c>
      <c r="C209" t="s">
        <v>247</v>
      </c>
    </row>
    <row r="210" spans="1:3" ht="14.25" customHeight="1">
      <c r="A210" t="s">
        <v>206</v>
      </c>
      <c r="B210">
        <v>42</v>
      </c>
      <c r="C210" t="s">
        <v>248</v>
      </c>
    </row>
    <row r="211" spans="1:3" ht="14.25" customHeight="1">
      <c r="A211" t="s">
        <v>206</v>
      </c>
      <c r="B211">
        <v>43</v>
      </c>
      <c r="C211" t="s">
        <v>249</v>
      </c>
    </row>
    <row r="212" spans="1:3" ht="14.25" customHeight="1">
      <c r="A212" t="s">
        <v>206</v>
      </c>
      <c r="B212">
        <v>44</v>
      </c>
      <c r="C212" t="s">
        <v>250</v>
      </c>
    </row>
    <row r="213" spans="1:3" ht="14.25" customHeight="1">
      <c r="A213" t="s">
        <v>206</v>
      </c>
      <c r="B213">
        <v>45</v>
      </c>
      <c r="C213" t="s">
        <v>251</v>
      </c>
    </row>
    <row r="214" spans="1:3" ht="14.25" customHeight="1">
      <c r="A214" t="s">
        <v>206</v>
      </c>
      <c r="B214">
        <v>46</v>
      </c>
      <c r="C214" t="s">
        <v>252</v>
      </c>
    </row>
    <row r="215" spans="1:3" ht="14.25" customHeight="1">
      <c r="A215" t="s">
        <v>206</v>
      </c>
      <c r="B215">
        <v>47</v>
      </c>
      <c r="C215" t="s">
        <v>253</v>
      </c>
    </row>
    <row r="216" spans="1:3" ht="14.25" customHeight="1">
      <c r="A216" t="s">
        <v>206</v>
      </c>
      <c r="B216">
        <v>48</v>
      </c>
      <c r="C216" t="s">
        <v>254</v>
      </c>
    </row>
    <row r="217" spans="1:3" ht="14.25" customHeight="1">
      <c r="A217" t="s">
        <v>206</v>
      </c>
      <c r="B217">
        <v>49</v>
      </c>
      <c r="C217" t="s">
        <v>255</v>
      </c>
    </row>
    <row r="218" spans="1:3" ht="14.25" customHeight="1">
      <c r="A218" t="s">
        <v>206</v>
      </c>
      <c r="B218">
        <v>50</v>
      </c>
      <c r="C218" t="s">
        <v>256</v>
      </c>
    </row>
    <row r="219" spans="1:3" ht="14.25" customHeight="1">
      <c r="A219" t="s">
        <v>206</v>
      </c>
      <c r="B219">
        <v>51</v>
      </c>
      <c r="C219" t="s">
        <v>257</v>
      </c>
    </row>
    <row r="220" spans="1:3" ht="14.25" customHeight="1">
      <c r="A220" t="s">
        <v>206</v>
      </c>
      <c r="B220">
        <v>52</v>
      </c>
      <c r="C220" t="s">
        <v>258</v>
      </c>
    </row>
    <row r="221" spans="1:3" ht="14.25" customHeight="1">
      <c r="A221" t="s">
        <v>206</v>
      </c>
      <c r="B221">
        <v>53</v>
      </c>
      <c r="C221" t="s">
        <v>259</v>
      </c>
    </row>
    <row r="222" spans="1:3" ht="14.25" customHeight="1">
      <c r="A222" t="s">
        <v>206</v>
      </c>
      <c r="B222">
        <v>54</v>
      </c>
      <c r="C222" t="s">
        <v>260</v>
      </c>
    </row>
    <row r="223" spans="1:3" ht="14.25" customHeight="1">
      <c r="A223" t="s">
        <v>206</v>
      </c>
      <c r="B223">
        <v>55</v>
      </c>
      <c r="C223" t="s">
        <v>261</v>
      </c>
    </row>
    <row r="224" spans="1:3" ht="14.25" customHeight="1">
      <c r="A224" t="s">
        <v>206</v>
      </c>
      <c r="B224">
        <v>56</v>
      </c>
      <c r="C224" t="s">
        <v>262</v>
      </c>
    </row>
    <row r="225" spans="1:3" ht="14.25" customHeight="1">
      <c r="A225" t="s">
        <v>206</v>
      </c>
      <c r="B225">
        <v>57</v>
      </c>
      <c r="C225" t="s">
        <v>263</v>
      </c>
    </row>
    <row r="226" spans="1:3" ht="14.25" customHeight="1">
      <c r="A226" t="s">
        <v>206</v>
      </c>
      <c r="B226">
        <v>58</v>
      </c>
      <c r="C226" t="s">
        <v>264</v>
      </c>
    </row>
    <row r="227" spans="1:3" ht="14.25" customHeight="1">
      <c r="A227" t="s">
        <v>206</v>
      </c>
      <c r="B227">
        <v>59</v>
      </c>
      <c r="C227" t="s">
        <v>265</v>
      </c>
    </row>
    <row r="228" spans="1:3" ht="14.25" customHeight="1">
      <c r="A228" t="s">
        <v>206</v>
      </c>
      <c r="B228">
        <v>60</v>
      </c>
      <c r="C228" t="s">
        <v>266</v>
      </c>
    </row>
    <row r="229" spans="1:3" ht="14.25" customHeight="1">
      <c r="A229" t="s">
        <v>206</v>
      </c>
      <c r="B229">
        <v>61</v>
      </c>
      <c r="C229" t="s">
        <v>267</v>
      </c>
    </row>
    <row r="230" spans="1:3" ht="14.25" customHeight="1">
      <c r="A230" t="s">
        <v>206</v>
      </c>
      <c r="B230">
        <v>62</v>
      </c>
      <c r="C230" t="s">
        <v>268</v>
      </c>
    </row>
    <row r="231" spans="1:3" ht="14.25" customHeight="1">
      <c r="A231" t="s">
        <v>206</v>
      </c>
      <c r="B231">
        <v>63</v>
      </c>
      <c r="C231" t="s">
        <v>269</v>
      </c>
    </row>
    <row r="232" spans="1:3" ht="14.25" customHeight="1">
      <c r="A232" t="s">
        <v>206</v>
      </c>
      <c r="B232">
        <v>64</v>
      </c>
      <c r="C232" t="s">
        <v>270</v>
      </c>
    </row>
    <row r="233" spans="1:3" ht="14.25" customHeight="1">
      <c r="A233" t="s">
        <v>206</v>
      </c>
      <c r="B233">
        <v>65</v>
      </c>
      <c r="C233" t="s">
        <v>271</v>
      </c>
    </row>
    <row r="234" spans="1:3" ht="14.25" customHeight="1">
      <c r="A234" t="s">
        <v>206</v>
      </c>
      <c r="B234">
        <v>66</v>
      </c>
      <c r="C234" t="s">
        <v>272</v>
      </c>
    </row>
    <row r="235" spans="1:3" ht="14.25" customHeight="1">
      <c r="A235" t="s">
        <v>206</v>
      </c>
      <c r="B235">
        <v>67</v>
      </c>
      <c r="C235" t="s">
        <v>273</v>
      </c>
    </row>
    <row r="236" spans="1:3" ht="14.25" customHeight="1">
      <c r="A236" t="s">
        <v>206</v>
      </c>
      <c r="B236">
        <v>68</v>
      </c>
      <c r="C236" t="s">
        <v>274</v>
      </c>
    </row>
    <row r="237" spans="1:3" ht="14.25" customHeight="1">
      <c r="A237" t="s">
        <v>206</v>
      </c>
      <c r="B237">
        <v>69</v>
      </c>
      <c r="C237" t="s">
        <v>275</v>
      </c>
    </row>
    <row r="238" spans="1:3" ht="14.25" customHeight="1">
      <c r="A238" t="s">
        <v>206</v>
      </c>
      <c r="B238">
        <v>70</v>
      </c>
      <c r="C238" t="s">
        <v>276</v>
      </c>
    </row>
    <row r="239" spans="1:3" ht="14.25" customHeight="1">
      <c r="A239" t="s">
        <v>206</v>
      </c>
      <c r="B239">
        <v>71</v>
      </c>
      <c r="C239" t="s">
        <v>277</v>
      </c>
    </row>
    <row r="240" spans="1:3" ht="14.25" customHeight="1">
      <c r="A240" t="s">
        <v>206</v>
      </c>
      <c r="B240">
        <v>72</v>
      </c>
      <c r="C240" t="s">
        <v>278</v>
      </c>
    </row>
    <row r="241" spans="1:3" ht="14.25" customHeight="1">
      <c r="A241" t="s">
        <v>206</v>
      </c>
      <c r="B241">
        <v>73</v>
      </c>
      <c r="C241" t="s">
        <v>279</v>
      </c>
    </row>
    <row r="242" spans="1:3" ht="14.25" customHeight="1">
      <c r="A242" t="s">
        <v>206</v>
      </c>
      <c r="B242">
        <v>74</v>
      </c>
      <c r="C242" t="s">
        <v>280</v>
      </c>
    </row>
    <row r="243" spans="1:3" ht="14.25" customHeight="1">
      <c r="A243" t="s">
        <v>206</v>
      </c>
      <c r="B243">
        <v>75</v>
      </c>
      <c r="C243" t="s">
        <v>281</v>
      </c>
    </row>
    <row r="244" spans="1:3" ht="14.25" customHeight="1">
      <c r="A244" t="s">
        <v>206</v>
      </c>
      <c r="B244">
        <v>76</v>
      </c>
      <c r="C244" t="s">
        <v>282</v>
      </c>
    </row>
    <row r="245" spans="1:3" ht="14.25" customHeight="1">
      <c r="A245" t="s">
        <v>206</v>
      </c>
      <c r="B245">
        <v>77</v>
      </c>
      <c r="C245" t="s">
        <v>283</v>
      </c>
    </row>
    <row r="246" spans="1:3" ht="14.25" customHeight="1">
      <c r="A246" t="s">
        <v>206</v>
      </c>
      <c r="B246">
        <v>78</v>
      </c>
      <c r="C246" t="s">
        <v>284</v>
      </c>
    </row>
    <row r="247" spans="1:3" ht="14.25" customHeight="1">
      <c r="A247" t="s">
        <v>206</v>
      </c>
      <c r="B247">
        <v>79</v>
      </c>
      <c r="C247" t="s">
        <v>285</v>
      </c>
    </row>
    <row r="248" spans="1:3" ht="14.25" customHeight="1">
      <c r="A248" t="s">
        <v>206</v>
      </c>
      <c r="B248">
        <v>80</v>
      </c>
      <c r="C248" t="s">
        <v>286</v>
      </c>
    </row>
    <row r="249" spans="1:3" ht="14.25" customHeight="1">
      <c r="A249" t="s">
        <v>206</v>
      </c>
      <c r="B249">
        <v>81</v>
      </c>
      <c r="C249" t="s">
        <v>287</v>
      </c>
    </row>
    <row r="250" spans="1:3" ht="14.25" customHeight="1">
      <c r="A250" t="s">
        <v>206</v>
      </c>
      <c r="B250">
        <v>82</v>
      </c>
      <c r="C250" t="s">
        <v>288</v>
      </c>
    </row>
    <row r="251" spans="1:3" ht="14.25" customHeight="1">
      <c r="A251" t="s">
        <v>206</v>
      </c>
      <c r="B251">
        <v>83</v>
      </c>
      <c r="C251" t="s">
        <v>289</v>
      </c>
    </row>
    <row r="252" spans="1:3" ht="14.25" customHeight="1">
      <c r="A252" t="s">
        <v>206</v>
      </c>
      <c r="B252">
        <v>84</v>
      </c>
      <c r="C252" t="s">
        <v>290</v>
      </c>
    </row>
    <row r="253" spans="1:3" ht="14.25" customHeight="1">
      <c r="A253" t="s">
        <v>206</v>
      </c>
      <c r="B253">
        <v>85</v>
      </c>
      <c r="C253" t="s">
        <v>291</v>
      </c>
    </row>
    <row r="254" spans="1:3" ht="14.25" customHeight="1">
      <c r="A254" t="s">
        <v>206</v>
      </c>
      <c r="B254">
        <v>86</v>
      </c>
      <c r="C254" t="s">
        <v>292</v>
      </c>
    </row>
    <row r="255" spans="1:3" ht="14.25" customHeight="1">
      <c r="A255" t="s">
        <v>206</v>
      </c>
      <c r="B255">
        <v>87</v>
      </c>
      <c r="C255" t="s">
        <v>293</v>
      </c>
    </row>
    <row r="256" spans="1:3" ht="14.25" customHeight="1">
      <c r="A256" t="s">
        <v>206</v>
      </c>
      <c r="B256">
        <v>88</v>
      </c>
      <c r="C256" t="s">
        <v>294</v>
      </c>
    </row>
    <row r="257" spans="1:3" ht="14.25" customHeight="1">
      <c r="A257" t="s">
        <v>206</v>
      </c>
      <c r="B257">
        <v>89</v>
      </c>
      <c r="C257" t="s">
        <v>295</v>
      </c>
    </row>
    <row r="258" spans="1:3" ht="14.25" customHeight="1">
      <c r="A258" t="s">
        <v>206</v>
      </c>
      <c r="B258">
        <v>90</v>
      </c>
      <c r="C258" t="s">
        <v>296</v>
      </c>
    </row>
    <row r="259" spans="1:3" ht="14.25" customHeight="1">
      <c r="A259" t="s">
        <v>206</v>
      </c>
      <c r="B259">
        <v>91</v>
      </c>
      <c r="C259" t="s">
        <v>297</v>
      </c>
    </row>
    <row r="260" spans="1:3" ht="14.25" customHeight="1">
      <c r="A260" t="s">
        <v>206</v>
      </c>
      <c r="B260">
        <v>92</v>
      </c>
      <c r="C260" t="s">
        <v>298</v>
      </c>
    </row>
    <row r="261" spans="1:3" ht="14.25" customHeight="1">
      <c r="A261" t="s">
        <v>206</v>
      </c>
      <c r="B261">
        <v>93</v>
      </c>
      <c r="C261" t="s">
        <v>299</v>
      </c>
    </row>
    <row r="262" spans="1:3" ht="14.25" customHeight="1">
      <c r="A262" t="s">
        <v>206</v>
      </c>
      <c r="B262">
        <v>94</v>
      </c>
      <c r="C262" t="s">
        <v>300</v>
      </c>
    </row>
    <row r="263" spans="1:3" ht="14.25" customHeight="1">
      <c r="A263" t="s">
        <v>206</v>
      </c>
      <c r="B263">
        <v>95</v>
      </c>
      <c r="C263" t="s">
        <v>301</v>
      </c>
    </row>
    <row r="264" spans="1:3" ht="14.25" customHeight="1">
      <c r="A264" t="s">
        <v>206</v>
      </c>
      <c r="B264">
        <v>96</v>
      </c>
      <c r="C264" t="s">
        <v>302</v>
      </c>
    </row>
    <row r="265" spans="1:3" ht="14.25" customHeight="1">
      <c r="A265" t="s">
        <v>206</v>
      </c>
      <c r="B265">
        <v>97</v>
      </c>
      <c r="C265" t="s">
        <v>303</v>
      </c>
    </row>
    <row r="266" spans="1:3" ht="14.25" customHeight="1">
      <c r="A266" t="s">
        <v>206</v>
      </c>
      <c r="B266">
        <v>98</v>
      </c>
      <c r="C266" t="s">
        <v>304</v>
      </c>
    </row>
    <row r="267" spans="1:3" ht="14.25" customHeight="1">
      <c r="A267" t="s">
        <v>206</v>
      </c>
      <c r="B267">
        <v>99</v>
      </c>
      <c r="C267" t="s">
        <v>305</v>
      </c>
    </row>
    <row r="268" spans="1:3" ht="14.25" customHeight="1">
      <c r="A268" t="s">
        <v>206</v>
      </c>
      <c r="B268">
        <v>100</v>
      </c>
      <c r="C268" t="s">
        <v>306</v>
      </c>
    </row>
    <row r="269" spans="1:3" ht="14.25" customHeight="1">
      <c r="A269" t="s">
        <v>206</v>
      </c>
      <c r="B269">
        <v>101</v>
      </c>
      <c r="C269" t="s">
        <v>307</v>
      </c>
    </row>
    <row r="270" spans="1:3" ht="14.25" customHeight="1">
      <c r="A270" t="s">
        <v>206</v>
      </c>
      <c r="B270">
        <v>102</v>
      </c>
      <c r="C270" t="s">
        <v>308</v>
      </c>
    </row>
    <row r="271" spans="1:3" ht="14.25" customHeight="1">
      <c r="A271" t="s">
        <v>206</v>
      </c>
      <c r="B271">
        <v>103</v>
      </c>
      <c r="C271" t="s">
        <v>309</v>
      </c>
    </row>
    <row r="272" spans="1:3" ht="14.25" customHeight="1">
      <c r="A272" t="s">
        <v>206</v>
      </c>
      <c r="B272">
        <v>104</v>
      </c>
      <c r="C272" t="s">
        <v>310</v>
      </c>
    </row>
    <row r="273" spans="1:3" ht="14.25" customHeight="1">
      <c r="A273" t="s">
        <v>206</v>
      </c>
      <c r="B273">
        <v>105</v>
      </c>
      <c r="C273" t="s">
        <v>311</v>
      </c>
    </row>
    <row r="274" spans="1:3" ht="14.25" customHeight="1">
      <c r="A274" t="s">
        <v>206</v>
      </c>
      <c r="B274">
        <v>106</v>
      </c>
      <c r="C274" t="s">
        <v>312</v>
      </c>
    </row>
    <row r="275" spans="1:3" ht="14.25" customHeight="1">
      <c r="A275" t="s">
        <v>206</v>
      </c>
      <c r="B275">
        <v>107</v>
      </c>
      <c r="C275" t="s">
        <v>313</v>
      </c>
    </row>
    <row r="276" spans="1:3" ht="14.25" customHeight="1">
      <c r="A276" t="s">
        <v>206</v>
      </c>
      <c r="B276">
        <v>108</v>
      </c>
      <c r="C276" t="s">
        <v>314</v>
      </c>
    </row>
    <row r="277" spans="1:3" ht="14.25" customHeight="1">
      <c r="A277" t="s">
        <v>206</v>
      </c>
      <c r="B277">
        <v>109</v>
      </c>
      <c r="C277" t="s">
        <v>315</v>
      </c>
    </row>
    <row r="278" spans="1:3" ht="14.25" customHeight="1">
      <c r="A278" t="s">
        <v>206</v>
      </c>
      <c r="B278">
        <v>110</v>
      </c>
      <c r="C278" t="s">
        <v>316</v>
      </c>
    </row>
    <row r="279" spans="1:3" ht="14.25" customHeight="1">
      <c r="A279" t="s">
        <v>206</v>
      </c>
      <c r="B279">
        <v>111</v>
      </c>
      <c r="C279" t="s">
        <v>317</v>
      </c>
    </row>
    <row r="280" spans="1:3" ht="14.25" customHeight="1">
      <c r="A280" t="s">
        <v>206</v>
      </c>
      <c r="B280">
        <v>112</v>
      </c>
      <c r="C280" t="s">
        <v>318</v>
      </c>
    </row>
    <row r="281" spans="1:3" ht="14.25" customHeight="1">
      <c r="A281" t="s">
        <v>206</v>
      </c>
      <c r="B281">
        <v>113</v>
      </c>
      <c r="C281" t="s">
        <v>319</v>
      </c>
    </row>
    <row r="282" spans="1:3" ht="14.25" customHeight="1">
      <c r="A282" t="s">
        <v>206</v>
      </c>
      <c r="B282">
        <v>114</v>
      </c>
      <c r="C282" t="s">
        <v>320</v>
      </c>
    </row>
    <row r="283" spans="1:3" ht="14.25" customHeight="1">
      <c r="A283" t="s">
        <v>206</v>
      </c>
      <c r="B283">
        <v>115</v>
      </c>
      <c r="C283" t="s">
        <v>321</v>
      </c>
    </row>
    <row r="284" spans="1:3" ht="14.25" customHeight="1">
      <c r="A284" t="s">
        <v>206</v>
      </c>
      <c r="B284">
        <v>116</v>
      </c>
      <c r="C284" t="s">
        <v>322</v>
      </c>
    </row>
    <row r="285" spans="1:3" ht="14.25" customHeight="1">
      <c r="A285" t="s">
        <v>206</v>
      </c>
      <c r="B285">
        <v>117</v>
      </c>
      <c r="C285" t="s">
        <v>323</v>
      </c>
    </row>
    <row r="286" spans="1:3" ht="14.25" customHeight="1">
      <c r="A286" t="s">
        <v>206</v>
      </c>
      <c r="B286">
        <v>118</v>
      </c>
      <c r="C286" t="s">
        <v>324</v>
      </c>
    </row>
    <row r="287" spans="1:3" ht="14.25" customHeight="1">
      <c r="A287" t="s">
        <v>206</v>
      </c>
      <c r="B287">
        <v>119</v>
      </c>
      <c r="C287" t="s">
        <v>325</v>
      </c>
    </row>
    <row r="288" spans="1:3" ht="14.25" customHeight="1">
      <c r="A288" t="s">
        <v>206</v>
      </c>
      <c r="B288">
        <v>120</v>
      </c>
      <c r="C288" t="s">
        <v>326</v>
      </c>
    </row>
    <row r="289" spans="1:3" ht="14.25" customHeight="1">
      <c r="A289" t="s">
        <v>327</v>
      </c>
      <c r="B289">
        <v>1</v>
      </c>
      <c r="C289" t="s">
        <v>328</v>
      </c>
    </row>
    <row r="290" spans="1:3" ht="14.25" customHeight="1">
      <c r="A290" t="s">
        <v>327</v>
      </c>
      <c r="B290">
        <v>2</v>
      </c>
      <c r="C290" t="s">
        <v>329</v>
      </c>
    </row>
    <row r="291" spans="1:3" ht="14.25" customHeight="1">
      <c r="A291" t="s">
        <v>327</v>
      </c>
      <c r="B291">
        <v>3</v>
      </c>
      <c r="C291" t="s">
        <v>330</v>
      </c>
    </row>
    <row r="292" spans="1:3" ht="14.25" customHeight="1">
      <c r="A292" t="s">
        <v>327</v>
      </c>
      <c r="B292">
        <v>4</v>
      </c>
      <c r="C292" t="s">
        <v>331</v>
      </c>
    </row>
    <row r="293" spans="1:3" ht="14.25" customHeight="1">
      <c r="A293" t="s">
        <v>327</v>
      </c>
      <c r="B293">
        <v>5</v>
      </c>
      <c r="C293" t="s">
        <v>332</v>
      </c>
    </row>
    <row r="294" spans="1:3" ht="14.25" customHeight="1">
      <c r="A294" t="s">
        <v>327</v>
      </c>
      <c r="B294">
        <v>6</v>
      </c>
      <c r="C294" t="s">
        <v>333</v>
      </c>
    </row>
    <row r="295" spans="1:3" ht="14.25" customHeight="1">
      <c r="A295" t="s">
        <v>327</v>
      </c>
      <c r="B295">
        <v>7</v>
      </c>
      <c r="C295" t="s">
        <v>334</v>
      </c>
    </row>
    <row r="296" spans="1:3" ht="14.25" customHeight="1">
      <c r="A296" t="s">
        <v>327</v>
      </c>
      <c r="B296">
        <v>8</v>
      </c>
      <c r="C296" t="s">
        <v>335</v>
      </c>
    </row>
    <row r="297" spans="1:3" ht="14.25" customHeight="1">
      <c r="A297" t="s">
        <v>327</v>
      </c>
      <c r="B297">
        <v>9</v>
      </c>
      <c r="C297" t="s">
        <v>336</v>
      </c>
    </row>
    <row r="298" spans="1:3" ht="14.25" customHeight="1">
      <c r="A298" t="s">
        <v>327</v>
      </c>
      <c r="B298">
        <v>10</v>
      </c>
      <c r="C298" t="s">
        <v>337</v>
      </c>
    </row>
    <row r="299" spans="1:3" ht="14.25" customHeight="1">
      <c r="A299" t="s">
        <v>327</v>
      </c>
      <c r="B299">
        <v>11</v>
      </c>
      <c r="C299" t="s">
        <v>338</v>
      </c>
    </row>
    <row r="300" spans="1:3" ht="14.25" customHeight="1">
      <c r="A300" t="s">
        <v>327</v>
      </c>
      <c r="B300">
        <v>12</v>
      </c>
      <c r="C300" t="s">
        <v>339</v>
      </c>
    </row>
    <row r="301" spans="1:3" ht="14.25" customHeight="1">
      <c r="A301" t="s">
        <v>327</v>
      </c>
      <c r="B301">
        <v>13</v>
      </c>
      <c r="C301" t="s">
        <v>340</v>
      </c>
    </row>
    <row r="302" spans="1:3" ht="14.25" customHeight="1">
      <c r="A302" t="s">
        <v>327</v>
      </c>
      <c r="B302">
        <v>14</v>
      </c>
      <c r="C302" t="s">
        <v>341</v>
      </c>
    </row>
    <row r="303" spans="1:3" ht="14.25" customHeight="1">
      <c r="A303" t="s">
        <v>327</v>
      </c>
      <c r="B303">
        <v>15</v>
      </c>
      <c r="C303" t="s">
        <v>342</v>
      </c>
    </row>
    <row r="304" spans="1:3" ht="14.25" customHeight="1">
      <c r="A304" t="s">
        <v>327</v>
      </c>
      <c r="B304">
        <v>16</v>
      </c>
      <c r="C304" t="s">
        <v>343</v>
      </c>
    </row>
    <row r="305" spans="1:3" ht="14.25" customHeight="1">
      <c r="A305" t="s">
        <v>327</v>
      </c>
      <c r="B305">
        <v>17</v>
      </c>
      <c r="C305" t="s">
        <v>344</v>
      </c>
    </row>
    <row r="306" spans="1:3" ht="14.25" customHeight="1">
      <c r="A306" t="s">
        <v>327</v>
      </c>
      <c r="B306">
        <v>18</v>
      </c>
      <c r="C306" t="s">
        <v>345</v>
      </c>
    </row>
    <row r="307" spans="1:3" ht="14.25" customHeight="1">
      <c r="A307" t="s">
        <v>327</v>
      </c>
      <c r="B307">
        <v>19</v>
      </c>
      <c r="C307" t="s">
        <v>346</v>
      </c>
    </row>
    <row r="308" spans="1:3" ht="14.25" customHeight="1">
      <c r="A308" t="s">
        <v>327</v>
      </c>
      <c r="B308">
        <v>20</v>
      </c>
      <c r="C308" t="s">
        <v>347</v>
      </c>
    </row>
    <row r="309" spans="1:3" ht="14.25" customHeight="1">
      <c r="A309" t="s">
        <v>348</v>
      </c>
      <c r="B309">
        <v>1</v>
      </c>
      <c r="C309" t="s">
        <v>349</v>
      </c>
    </row>
    <row r="310" spans="1:3" ht="14.25" customHeight="1">
      <c r="A310" t="s">
        <v>348</v>
      </c>
      <c r="B310">
        <v>2</v>
      </c>
      <c r="C310" t="s">
        <v>350</v>
      </c>
    </row>
    <row r="311" spans="1:3" ht="14.25" customHeight="1">
      <c r="A311" t="s">
        <v>348</v>
      </c>
      <c r="B311">
        <v>3</v>
      </c>
      <c r="C311" t="s">
        <v>351</v>
      </c>
    </row>
    <row r="312" spans="1:3" ht="14.25" customHeight="1">
      <c r="A312" t="s">
        <v>348</v>
      </c>
      <c r="B312">
        <v>4</v>
      </c>
      <c r="C312" t="s">
        <v>352</v>
      </c>
    </row>
    <row r="313" spans="1:3" ht="14.25" customHeight="1">
      <c r="A313" t="s">
        <v>348</v>
      </c>
      <c r="B313">
        <v>5</v>
      </c>
      <c r="C313" t="s">
        <v>353</v>
      </c>
    </row>
    <row r="314" spans="1:3" ht="14.25" customHeight="1">
      <c r="A314" t="s">
        <v>348</v>
      </c>
      <c r="B314">
        <v>6</v>
      </c>
      <c r="C314" t="s">
        <v>354</v>
      </c>
    </row>
    <row r="315" spans="1:3" ht="14.25" customHeight="1">
      <c r="A315" t="s">
        <v>348</v>
      </c>
      <c r="B315">
        <v>7</v>
      </c>
      <c r="C315" t="s">
        <v>355</v>
      </c>
    </row>
    <row r="316" spans="1:3" ht="14.25" customHeight="1">
      <c r="A316" t="s">
        <v>348</v>
      </c>
      <c r="B316">
        <v>8</v>
      </c>
      <c r="C316" t="s">
        <v>356</v>
      </c>
    </row>
    <row r="317" spans="1:3" ht="14.25" customHeight="1">
      <c r="A317" t="s">
        <v>348</v>
      </c>
      <c r="B317">
        <v>9</v>
      </c>
      <c r="C317" t="s">
        <v>357</v>
      </c>
    </row>
    <row r="318" spans="1:3" ht="14.25" customHeight="1">
      <c r="A318" t="s">
        <v>348</v>
      </c>
      <c r="B318">
        <v>10</v>
      </c>
      <c r="C318" t="s">
        <v>358</v>
      </c>
    </row>
    <row r="319" spans="1:3" ht="14.25" customHeight="1">
      <c r="A319" t="s">
        <v>348</v>
      </c>
      <c r="B319">
        <v>11</v>
      </c>
      <c r="C319" t="s">
        <v>359</v>
      </c>
    </row>
    <row r="320" spans="1:3" ht="14.25" customHeight="1">
      <c r="A320" t="s">
        <v>348</v>
      </c>
      <c r="B320">
        <v>12</v>
      </c>
      <c r="C320" t="s">
        <v>360</v>
      </c>
    </row>
    <row r="321" spans="1:3" ht="14.25" customHeight="1">
      <c r="A321" t="s">
        <v>348</v>
      </c>
      <c r="B321">
        <v>13</v>
      </c>
      <c r="C321" t="s">
        <v>361</v>
      </c>
    </row>
    <row r="322" spans="1:3" ht="14.25" customHeight="1">
      <c r="A322" t="s">
        <v>348</v>
      </c>
      <c r="B322">
        <v>14</v>
      </c>
      <c r="C322" t="s">
        <v>362</v>
      </c>
    </row>
    <row r="323" spans="1:3" ht="14.25" customHeight="1">
      <c r="A323" t="s">
        <v>348</v>
      </c>
      <c r="B323">
        <v>15</v>
      </c>
      <c r="C323" t="s">
        <v>363</v>
      </c>
    </row>
    <row r="324" spans="1:3" ht="14.25" customHeight="1">
      <c r="A324" t="s">
        <v>348</v>
      </c>
      <c r="B324">
        <v>16</v>
      </c>
      <c r="C324" t="s">
        <v>364</v>
      </c>
    </row>
    <row r="325" spans="1:3" ht="14.25" customHeight="1">
      <c r="A325" t="s">
        <v>348</v>
      </c>
      <c r="B325">
        <v>17</v>
      </c>
      <c r="C325" t="s">
        <v>365</v>
      </c>
    </row>
    <row r="326" spans="1:3" ht="14.25" customHeight="1">
      <c r="A326" t="s">
        <v>348</v>
      </c>
      <c r="B326">
        <v>18</v>
      </c>
      <c r="C326" t="s">
        <v>366</v>
      </c>
    </row>
    <row r="327" spans="1:3" ht="14.25" customHeight="1">
      <c r="A327" t="s">
        <v>348</v>
      </c>
      <c r="B327">
        <v>19</v>
      </c>
      <c r="C327" t="s">
        <v>367</v>
      </c>
    </row>
    <row r="328" spans="1:3" ht="14.25" customHeight="1">
      <c r="A328" t="s">
        <v>348</v>
      </c>
      <c r="B328">
        <v>20</v>
      </c>
      <c r="C328" t="s">
        <v>368</v>
      </c>
    </row>
    <row r="329" spans="1:3" ht="14.25" customHeight="1">
      <c r="A329" t="s">
        <v>348</v>
      </c>
      <c r="B329">
        <v>21</v>
      </c>
      <c r="C329" t="s">
        <v>369</v>
      </c>
    </row>
    <row r="330" spans="1:3" ht="14.25" customHeight="1">
      <c r="A330" t="s">
        <v>348</v>
      </c>
      <c r="B330">
        <v>22</v>
      </c>
      <c r="C330" t="s">
        <v>370</v>
      </c>
    </row>
    <row r="331" spans="1:3" ht="14.25" customHeight="1">
      <c r="A331" t="s">
        <v>348</v>
      </c>
      <c r="B331">
        <v>23</v>
      </c>
      <c r="C331" t="s">
        <v>371</v>
      </c>
    </row>
    <row r="332" spans="1:3" ht="14.25" customHeight="1">
      <c r="A332" t="s">
        <v>348</v>
      </c>
      <c r="B332">
        <v>24</v>
      </c>
      <c r="C332" t="s">
        <v>372</v>
      </c>
    </row>
    <row r="333" spans="1:3" ht="14.25" customHeight="1">
      <c r="A333" t="s">
        <v>348</v>
      </c>
      <c r="B333">
        <v>25</v>
      </c>
      <c r="C333" t="s">
        <v>373</v>
      </c>
    </row>
    <row r="334" spans="1:3" ht="14.25" customHeight="1">
      <c r="A334" t="s">
        <v>348</v>
      </c>
      <c r="B334">
        <v>26</v>
      </c>
      <c r="C334" t="s">
        <v>374</v>
      </c>
    </row>
    <row r="335" spans="1:3" ht="14.25" customHeight="1">
      <c r="A335" t="s">
        <v>348</v>
      </c>
      <c r="B335">
        <v>27</v>
      </c>
      <c r="C335" t="s">
        <v>375</v>
      </c>
    </row>
    <row r="336" spans="1:3" ht="14.25" customHeight="1">
      <c r="A336" t="s">
        <v>348</v>
      </c>
      <c r="B336">
        <v>28</v>
      </c>
      <c r="C336" t="s">
        <v>376</v>
      </c>
    </row>
    <row r="337" spans="1:3" ht="14.25" customHeight="1">
      <c r="A337" t="s">
        <v>348</v>
      </c>
      <c r="B337">
        <v>29</v>
      </c>
      <c r="C337" t="s">
        <v>377</v>
      </c>
    </row>
    <row r="338" spans="1:3" ht="14.25" customHeight="1">
      <c r="A338" t="s">
        <v>348</v>
      </c>
      <c r="B338">
        <v>30</v>
      </c>
      <c r="C338" t="s">
        <v>378</v>
      </c>
    </row>
    <row r="339" spans="1:3" ht="14.25" customHeight="1">
      <c r="A339" t="s">
        <v>348</v>
      </c>
      <c r="B339">
        <v>31</v>
      </c>
      <c r="C339" t="s">
        <v>379</v>
      </c>
    </row>
    <row r="340" spans="1:3" ht="14.25" customHeight="1">
      <c r="A340" t="s">
        <v>348</v>
      </c>
      <c r="B340">
        <v>32</v>
      </c>
      <c r="C340" t="s">
        <v>380</v>
      </c>
    </row>
    <row r="341" spans="1:3" ht="14.25" customHeight="1">
      <c r="A341" t="s">
        <v>348</v>
      </c>
      <c r="B341">
        <v>33</v>
      </c>
      <c r="C341" t="s">
        <v>381</v>
      </c>
    </row>
    <row r="342" spans="1:3" ht="14.25" customHeight="1">
      <c r="A342" t="s">
        <v>348</v>
      </c>
      <c r="B342">
        <v>34</v>
      </c>
      <c r="C342" t="s">
        <v>382</v>
      </c>
    </row>
    <row r="343" spans="1:3" ht="14.25" customHeight="1">
      <c r="A343" t="s">
        <v>348</v>
      </c>
      <c r="B343">
        <v>35</v>
      </c>
      <c r="C343" t="s">
        <v>383</v>
      </c>
    </row>
    <row r="344" spans="1:3" ht="14.25" customHeight="1">
      <c r="A344" t="s">
        <v>348</v>
      </c>
      <c r="B344">
        <v>36</v>
      </c>
      <c r="C344" t="s">
        <v>384</v>
      </c>
    </row>
    <row r="345" spans="1:3" ht="14.25" customHeight="1">
      <c r="A345" t="s">
        <v>348</v>
      </c>
      <c r="B345">
        <v>37</v>
      </c>
      <c r="C345" t="s">
        <v>385</v>
      </c>
    </row>
    <row r="346" spans="1:3" ht="14.25" customHeight="1">
      <c r="A346" t="s">
        <v>348</v>
      </c>
      <c r="B346">
        <v>38</v>
      </c>
      <c r="C346" t="s">
        <v>386</v>
      </c>
    </row>
    <row r="347" spans="1:3" ht="14.25" customHeight="1">
      <c r="A347" t="s">
        <v>348</v>
      </c>
      <c r="B347">
        <v>39</v>
      </c>
      <c r="C347" t="s">
        <v>387</v>
      </c>
    </row>
    <row r="348" spans="1:3" ht="14.25" customHeight="1">
      <c r="A348" t="s">
        <v>348</v>
      </c>
      <c r="B348">
        <v>40</v>
      </c>
      <c r="C348" t="s">
        <v>388</v>
      </c>
    </row>
    <row r="349" spans="1:3" ht="14.25" customHeight="1">
      <c r="A349" t="s">
        <v>348</v>
      </c>
      <c r="B349">
        <v>41</v>
      </c>
      <c r="C349" t="s">
        <v>389</v>
      </c>
    </row>
    <row r="350" spans="1:3" ht="14.25" customHeight="1">
      <c r="A350" t="s">
        <v>348</v>
      </c>
      <c r="B350">
        <v>42</v>
      </c>
      <c r="C350" t="s">
        <v>390</v>
      </c>
    </row>
    <row r="351" spans="1:3" ht="14.25" customHeight="1">
      <c r="A351" t="s">
        <v>348</v>
      </c>
      <c r="B351">
        <v>43</v>
      </c>
      <c r="C351" t="s">
        <v>391</v>
      </c>
    </row>
    <row r="352" spans="1:3" ht="14.25" customHeight="1">
      <c r="A352" t="s">
        <v>348</v>
      </c>
      <c r="B352">
        <v>44</v>
      </c>
      <c r="C352" t="s">
        <v>392</v>
      </c>
    </row>
    <row r="353" spans="1:3" ht="14.25" customHeight="1">
      <c r="A353" t="s">
        <v>348</v>
      </c>
      <c r="B353">
        <v>45</v>
      </c>
      <c r="C353" t="s">
        <v>393</v>
      </c>
    </row>
    <row r="354" spans="1:3" ht="14.25" customHeight="1">
      <c r="A354" t="s">
        <v>348</v>
      </c>
      <c r="B354">
        <v>46</v>
      </c>
      <c r="C354" t="s">
        <v>394</v>
      </c>
    </row>
    <row r="355" spans="1:3" ht="14.25" customHeight="1">
      <c r="A355" t="s">
        <v>348</v>
      </c>
      <c r="B355">
        <v>47</v>
      </c>
      <c r="C355" t="s">
        <v>395</v>
      </c>
    </row>
    <row r="356" spans="1:3" ht="14.25" customHeight="1">
      <c r="A356" t="s">
        <v>348</v>
      </c>
      <c r="B356">
        <v>48</v>
      </c>
      <c r="C356" t="s">
        <v>396</v>
      </c>
    </row>
    <row r="357" spans="1:3" ht="14.25" customHeight="1">
      <c r="A357" t="s">
        <v>348</v>
      </c>
      <c r="B357">
        <v>49</v>
      </c>
      <c r="C357" t="s">
        <v>397</v>
      </c>
    </row>
    <row r="358" spans="1:3" ht="14.25" customHeight="1">
      <c r="A358" t="s">
        <v>348</v>
      </c>
      <c r="B358">
        <v>50</v>
      </c>
      <c r="C358" t="s">
        <v>398</v>
      </c>
    </row>
    <row r="359" spans="1:3" ht="14.25" customHeight="1">
      <c r="A359" t="s">
        <v>348</v>
      </c>
      <c r="B359">
        <v>51</v>
      </c>
      <c r="C359" t="s">
        <v>399</v>
      </c>
    </row>
    <row r="360" spans="1:3" ht="14.25" customHeight="1">
      <c r="A360" t="s">
        <v>348</v>
      </c>
      <c r="B360">
        <v>52</v>
      </c>
      <c r="C360" t="s">
        <v>400</v>
      </c>
    </row>
    <row r="361" spans="1:3" ht="14.25" customHeight="1">
      <c r="A361" t="s">
        <v>348</v>
      </c>
      <c r="B361">
        <v>53</v>
      </c>
      <c r="C361" t="s">
        <v>401</v>
      </c>
    </row>
    <row r="362" spans="1:3" ht="14.25" customHeight="1">
      <c r="A362" t="s">
        <v>348</v>
      </c>
      <c r="B362">
        <v>54</v>
      </c>
      <c r="C362" t="s">
        <v>402</v>
      </c>
    </row>
    <row r="363" spans="1:3" ht="14.25" customHeight="1">
      <c r="A363" t="s">
        <v>348</v>
      </c>
      <c r="B363">
        <v>55</v>
      </c>
      <c r="C363" t="s">
        <v>403</v>
      </c>
    </row>
    <row r="364" spans="1:3" ht="14.25" customHeight="1">
      <c r="A364" t="s">
        <v>348</v>
      </c>
      <c r="B364">
        <v>56</v>
      </c>
      <c r="C364" t="s">
        <v>404</v>
      </c>
    </row>
    <row r="365" spans="1:3" ht="14.25" customHeight="1">
      <c r="A365" t="s">
        <v>348</v>
      </c>
      <c r="B365">
        <v>57</v>
      </c>
      <c r="C365" t="s">
        <v>405</v>
      </c>
    </row>
    <row r="366" spans="1:3" ht="14.25" customHeight="1">
      <c r="A366" t="s">
        <v>348</v>
      </c>
      <c r="B366">
        <v>58</v>
      </c>
      <c r="C366" t="s">
        <v>406</v>
      </c>
    </row>
    <row r="367" spans="1:3" ht="14.25" customHeight="1">
      <c r="A367" t="s">
        <v>348</v>
      </c>
      <c r="B367">
        <v>59</v>
      </c>
      <c r="C367" t="s">
        <v>407</v>
      </c>
    </row>
    <row r="368" spans="1:3" ht="14.25" customHeight="1">
      <c r="A368" t="s">
        <v>348</v>
      </c>
      <c r="B368">
        <v>60</v>
      </c>
      <c r="C368" t="s">
        <v>408</v>
      </c>
    </row>
    <row r="369" spans="1:3" ht="14.25" customHeight="1">
      <c r="A369" t="s">
        <v>348</v>
      </c>
      <c r="B369">
        <v>61</v>
      </c>
      <c r="C369" t="s">
        <v>409</v>
      </c>
    </row>
    <row r="370" spans="1:3" ht="14.25" customHeight="1">
      <c r="A370" t="s">
        <v>348</v>
      </c>
      <c r="B370">
        <v>62</v>
      </c>
      <c r="C370" t="s">
        <v>410</v>
      </c>
    </row>
    <row r="371" spans="1:3" ht="14.25" customHeight="1">
      <c r="A371" t="s">
        <v>348</v>
      </c>
      <c r="B371">
        <v>63</v>
      </c>
      <c r="C371" t="s">
        <v>411</v>
      </c>
    </row>
    <row r="372" spans="1:3" ht="14.25" customHeight="1">
      <c r="A372" t="s">
        <v>348</v>
      </c>
      <c r="B372">
        <v>64</v>
      </c>
      <c r="C372" t="s">
        <v>412</v>
      </c>
    </row>
    <row r="373" spans="1:3" ht="14.25" customHeight="1">
      <c r="A373" t="s">
        <v>348</v>
      </c>
      <c r="B373">
        <v>65</v>
      </c>
      <c r="C373" t="s">
        <v>413</v>
      </c>
    </row>
    <row r="374" spans="1:3" ht="14.25" customHeight="1">
      <c r="A374" t="s">
        <v>348</v>
      </c>
      <c r="B374">
        <v>66</v>
      </c>
      <c r="C374" t="s">
        <v>414</v>
      </c>
    </row>
    <row r="375" spans="1:3" ht="14.25" customHeight="1">
      <c r="A375" t="s">
        <v>348</v>
      </c>
      <c r="B375">
        <v>67</v>
      </c>
      <c r="C375" t="s">
        <v>415</v>
      </c>
    </row>
    <row r="376" spans="1:3" ht="14.25" customHeight="1">
      <c r="A376" t="s">
        <v>348</v>
      </c>
      <c r="B376">
        <v>68</v>
      </c>
      <c r="C376" t="s">
        <v>416</v>
      </c>
    </row>
    <row r="377" spans="1:3" ht="14.25" customHeight="1">
      <c r="A377" t="s">
        <v>348</v>
      </c>
      <c r="B377">
        <v>69</v>
      </c>
      <c r="C377" t="s">
        <v>417</v>
      </c>
    </row>
    <row r="378" spans="1:3" ht="14.25" customHeight="1">
      <c r="A378" t="s">
        <v>348</v>
      </c>
      <c r="B378">
        <v>70</v>
      </c>
      <c r="C378" t="s">
        <v>418</v>
      </c>
    </row>
    <row r="379" spans="1:3" ht="14.25" customHeight="1">
      <c r="A379" t="s">
        <v>348</v>
      </c>
      <c r="B379">
        <v>71</v>
      </c>
      <c r="C379" t="s">
        <v>419</v>
      </c>
    </row>
    <row r="380" spans="1:3" ht="14.25" customHeight="1">
      <c r="A380" t="s">
        <v>348</v>
      </c>
      <c r="B380">
        <v>72</v>
      </c>
      <c r="C380" t="s">
        <v>420</v>
      </c>
    </row>
    <row r="381" spans="1:3" ht="14.25" customHeight="1">
      <c r="A381" t="s">
        <v>348</v>
      </c>
      <c r="B381">
        <v>73</v>
      </c>
      <c r="C381" t="s">
        <v>421</v>
      </c>
    </row>
    <row r="382" spans="1:3" ht="14.25" customHeight="1">
      <c r="A382" t="s">
        <v>348</v>
      </c>
      <c r="B382">
        <v>74</v>
      </c>
      <c r="C382" t="s">
        <v>422</v>
      </c>
    </row>
    <row r="383" spans="1:3" ht="14.25" customHeight="1">
      <c r="A383" t="s">
        <v>348</v>
      </c>
      <c r="B383">
        <v>75</v>
      </c>
      <c r="C383" t="s">
        <v>423</v>
      </c>
    </row>
    <row r="384" spans="1:3" ht="14.25" customHeight="1">
      <c r="A384" t="s">
        <v>348</v>
      </c>
      <c r="B384">
        <v>76</v>
      </c>
      <c r="C384" t="s">
        <v>424</v>
      </c>
    </row>
    <row r="385" spans="1:3" ht="14.25" customHeight="1">
      <c r="A385" t="s">
        <v>348</v>
      </c>
      <c r="B385">
        <v>77</v>
      </c>
      <c r="C385" t="s">
        <v>425</v>
      </c>
    </row>
    <row r="386" spans="1:3" ht="14.25" customHeight="1">
      <c r="A386" t="s">
        <v>348</v>
      </c>
      <c r="B386">
        <v>78</v>
      </c>
      <c r="C386" t="s">
        <v>426</v>
      </c>
    </row>
    <row r="387" spans="1:3" ht="14.25" customHeight="1">
      <c r="A387" t="s">
        <v>348</v>
      </c>
      <c r="B387">
        <v>79</v>
      </c>
      <c r="C387" t="s">
        <v>427</v>
      </c>
    </row>
    <row r="388" spans="1:3" ht="14.25" customHeight="1">
      <c r="A388" t="s">
        <v>348</v>
      </c>
      <c r="B388">
        <v>80</v>
      </c>
      <c r="C388" t="s">
        <v>428</v>
      </c>
    </row>
    <row r="389" spans="1:3" ht="14.25" customHeight="1">
      <c r="A389" t="s">
        <v>348</v>
      </c>
      <c r="B389">
        <v>81</v>
      </c>
      <c r="C389" t="s">
        <v>429</v>
      </c>
    </row>
    <row r="390" spans="1:3" ht="14.25" customHeight="1">
      <c r="A390" t="s">
        <v>348</v>
      </c>
      <c r="B390">
        <v>82</v>
      </c>
      <c r="C390" t="s">
        <v>430</v>
      </c>
    </row>
    <row r="391" spans="1:3" ht="14.25" customHeight="1">
      <c r="A391" t="s">
        <v>348</v>
      </c>
      <c r="B391">
        <v>83</v>
      </c>
      <c r="C391" t="s">
        <v>431</v>
      </c>
    </row>
    <row r="392" spans="1:3" ht="14.25" customHeight="1">
      <c r="A392" t="s">
        <v>348</v>
      </c>
      <c r="B392">
        <v>84</v>
      </c>
      <c r="C392" t="s">
        <v>432</v>
      </c>
    </row>
    <row r="393" spans="1:3" ht="14.25" customHeight="1">
      <c r="A393" t="s">
        <v>348</v>
      </c>
      <c r="B393">
        <v>85</v>
      </c>
      <c r="C393" t="s">
        <v>433</v>
      </c>
    </row>
    <row r="394" spans="1:3" ht="14.25" customHeight="1">
      <c r="A394" t="s">
        <v>348</v>
      </c>
      <c r="B394">
        <v>86</v>
      </c>
      <c r="C394" t="s">
        <v>434</v>
      </c>
    </row>
    <row r="395" spans="1:3" ht="14.25" customHeight="1">
      <c r="A395" t="s">
        <v>348</v>
      </c>
      <c r="B395">
        <v>87</v>
      </c>
      <c r="C395" t="s">
        <v>435</v>
      </c>
    </row>
    <row r="396" spans="1:3" ht="14.25" customHeight="1">
      <c r="A396" t="s">
        <v>348</v>
      </c>
      <c r="B396">
        <v>88</v>
      </c>
      <c r="C396" t="s">
        <v>436</v>
      </c>
    </row>
    <row r="397" spans="1:3" ht="14.25" customHeight="1">
      <c r="A397" t="s">
        <v>348</v>
      </c>
      <c r="B397">
        <v>89</v>
      </c>
      <c r="C397" t="s">
        <v>437</v>
      </c>
    </row>
    <row r="398" spans="1:3" ht="14.25" customHeight="1">
      <c r="A398" t="s">
        <v>438</v>
      </c>
      <c r="B398">
        <v>1</v>
      </c>
      <c r="C398" t="s">
        <v>439</v>
      </c>
    </row>
    <row r="399" spans="1:3" ht="14.25" customHeight="1">
      <c r="A399" t="s">
        <v>438</v>
      </c>
      <c r="B399">
        <v>2</v>
      </c>
      <c r="C399" t="s">
        <v>440</v>
      </c>
    </row>
    <row r="400" spans="1:3" ht="14.25" customHeight="1">
      <c r="A400" t="s">
        <v>438</v>
      </c>
      <c r="B400">
        <v>3</v>
      </c>
      <c r="C400" t="s">
        <v>441</v>
      </c>
    </row>
    <row r="401" spans="1:3" ht="14.25" customHeight="1">
      <c r="A401" t="s">
        <v>438</v>
      </c>
      <c r="B401">
        <v>4</v>
      </c>
      <c r="C401" t="s">
        <v>442</v>
      </c>
    </row>
    <row r="402" spans="1:3" ht="14.25" customHeight="1">
      <c r="A402" t="s">
        <v>438</v>
      </c>
      <c r="B402">
        <v>5</v>
      </c>
      <c r="C402" t="s">
        <v>443</v>
      </c>
    </row>
    <row r="403" spans="1:3" ht="14.25" customHeight="1">
      <c r="A403" t="s">
        <v>438</v>
      </c>
      <c r="B403">
        <v>6</v>
      </c>
      <c r="C403" t="s">
        <v>444</v>
      </c>
    </row>
    <row r="404" spans="1:3" ht="14.25" customHeight="1">
      <c r="A404" t="s">
        <v>438</v>
      </c>
      <c r="B404">
        <v>7</v>
      </c>
      <c r="C404" t="s">
        <v>445</v>
      </c>
    </row>
    <row r="405" spans="1:3" ht="14.25" customHeight="1">
      <c r="A405" t="s">
        <v>438</v>
      </c>
      <c r="B405">
        <v>8</v>
      </c>
      <c r="C405" t="s">
        <v>446</v>
      </c>
    </row>
    <row r="406" spans="1:3" ht="14.25" customHeight="1">
      <c r="A406" t="s">
        <v>447</v>
      </c>
      <c r="B406">
        <v>1</v>
      </c>
      <c r="C406" t="s">
        <v>448</v>
      </c>
    </row>
    <row r="407" spans="1:3" ht="14.25" customHeight="1">
      <c r="A407" t="s">
        <v>447</v>
      </c>
      <c r="B407">
        <v>2</v>
      </c>
      <c r="C407" t="s">
        <v>449</v>
      </c>
    </row>
    <row r="408" spans="1:3" ht="14.25" customHeight="1">
      <c r="A408" t="s">
        <v>447</v>
      </c>
      <c r="B408">
        <v>3</v>
      </c>
      <c r="C408" t="s">
        <v>450</v>
      </c>
    </row>
    <row r="409" spans="1:3" ht="14.25" customHeight="1">
      <c r="A409" t="s">
        <v>447</v>
      </c>
      <c r="B409">
        <v>4</v>
      </c>
      <c r="C409" t="s">
        <v>451</v>
      </c>
    </row>
    <row r="410" spans="1:3" ht="14.25" customHeight="1">
      <c r="A410" t="s">
        <v>452</v>
      </c>
      <c r="B410">
        <v>1</v>
      </c>
      <c r="C410" t="s">
        <v>453</v>
      </c>
    </row>
    <row r="411" spans="1:3" ht="14.25" customHeight="1">
      <c r="A411" t="s">
        <v>452</v>
      </c>
      <c r="B411">
        <v>2</v>
      </c>
      <c r="C411" t="s">
        <v>454</v>
      </c>
    </row>
    <row r="412" spans="1:3" ht="14.25" customHeight="1">
      <c r="A412" t="s">
        <v>452</v>
      </c>
      <c r="B412">
        <v>3</v>
      </c>
      <c r="C412" t="s">
        <v>455</v>
      </c>
    </row>
    <row r="413" spans="1:3" ht="14.25" customHeight="1">
      <c r="A413" t="s">
        <v>452</v>
      </c>
      <c r="B413">
        <v>4</v>
      </c>
      <c r="C413" t="s">
        <v>456</v>
      </c>
    </row>
    <row r="414" spans="1:3" ht="14.25" customHeight="1">
      <c r="A414" t="s">
        <v>452</v>
      </c>
      <c r="B414">
        <v>5</v>
      </c>
      <c r="C414" t="s">
        <v>457</v>
      </c>
    </row>
    <row r="415" spans="1:3" ht="14.25" customHeight="1">
      <c r="A415" t="s">
        <v>452</v>
      </c>
      <c r="B415">
        <v>6</v>
      </c>
      <c r="C415" t="s">
        <v>458</v>
      </c>
    </row>
    <row r="416" spans="1:3" ht="14.25" customHeight="1">
      <c r="A416" t="s">
        <v>452</v>
      </c>
      <c r="B416">
        <v>7</v>
      </c>
      <c r="C416" t="s">
        <v>459</v>
      </c>
    </row>
    <row r="417" spans="1:3" ht="14.25" customHeight="1">
      <c r="A417" t="s">
        <v>452</v>
      </c>
      <c r="B417">
        <v>8</v>
      </c>
      <c r="C417" t="s">
        <v>460</v>
      </c>
    </row>
    <row r="418" spans="1:3" ht="14.25" customHeight="1">
      <c r="A418" t="s">
        <v>452</v>
      </c>
      <c r="B418">
        <v>9</v>
      </c>
      <c r="C418" t="s">
        <v>461</v>
      </c>
    </row>
    <row r="419" spans="1:3" ht="14.25" customHeight="1">
      <c r="A419" t="s">
        <v>452</v>
      </c>
      <c r="B419">
        <v>10</v>
      </c>
      <c r="C419" t="s">
        <v>462</v>
      </c>
    </row>
    <row r="420" spans="1:3" ht="14.25" customHeight="1">
      <c r="A420" t="s">
        <v>452</v>
      </c>
      <c r="B420">
        <v>11</v>
      </c>
      <c r="C420" t="s">
        <v>463</v>
      </c>
    </row>
    <row r="421" spans="1:3" ht="14.25" customHeight="1">
      <c r="A421" t="s">
        <v>452</v>
      </c>
      <c r="B421">
        <v>12</v>
      </c>
      <c r="C421" t="s">
        <v>464</v>
      </c>
    </row>
    <row r="422" spans="1:3" ht="14.25" customHeight="1">
      <c r="A422" t="s">
        <v>452</v>
      </c>
      <c r="B422">
        <v>13</v>
      </c>
      <c r="C422" t="s">
        <v>465</v>
      </c>
    </row>
    <row r="423" spans="1:3" ht="14.25" customHeight="1">
      <c r="A423" t="s">
        <v>452</v>
      </c>
      <c r="B423">
        <v>14</v>
      </c>
      <c r="C423" t="s">
        <v>466</v>
      </c>
    </row>
    <row r="424" spans="1:3" ht="14.25" customHeight="1">
      <c r="A424" t="s">
        <v>467</v>
      </c>
      <c r="B424">
        <v>1</v>
      </c>
      <c r="C424" t="s">
        <v>468</v>
      </c>
    </row>
    <row r="425" spans="1:3" ht="14.25" customHeight="1">
      <c r="A425" t="s">
        <v>467</v>
      </c>
      <c r="B425">
        <v>2</v>
      </c>
      <c r="C425" t="s">
        <v>469</v>
      </c>
    </row>
    <row r="426" spans="1:3" ht="14.25" customHeight="1">
      <c r="A426" t="s">
        <v>467</v>
      </c>
      <c r="B426">
        <v>3</v>
      </c>
      <c r="C426" t="s">
        <v>470</v>
      </c>
    </row>
    <row r="427" spans="1:3" ht="14.25" customHeight="1">
      <c r="A427" t="s">
        <v>467</v>
      </c>
      <c r="B427">
        <v>4</v>
      </c>
      <c r="C427" t="s">
        <v>471</v>
      </c>
    </row>
    <row r="428" spans="1:3" ht="14.25" customHeight="1">
      <c r="A428" t="s">
        <v>467</v>
      </c>
      <c r="B428">
        <v>5</v>
      </c>
      <c r="C428" t="s">
        <v>472</v>
      </c>
    </row>
    <row r="429" spans="1:3" ht="14.25" customHeight="1">
      <c r="A429" t="s">
        <v>473</v>
      </c>
      <c r="B429">
        <v>1</v>
      </c>
      <c r="C429" t="s">
        <v>474</v>
      </c>
    </row>
    <row r="430" spans="1:3" ht="14.25" customHeight="1">
      <c r="A430" t="s">
        <v>473</v>
      </c>
      <c r="B430">
        <v>2</v>
      </c>
      <c r="C430" t="s">
        <v>475</v>
      </c>
    </row>
    <row r="431" spans="1:3" ht="14.25" customHeight="1">
      <c r="A431" t="s">
        <v>473</v>
      </c>
      <c r="B431">
        <v>3</v>
      </c>
      <c r="C431" t="s">
        <v>476</v>
      </c>
    </row>
    <row r="432" spans="1:3" ht="14.25" customHeight="1">
      <c r="A432" t="s">
        <v>473</v>
      </c>
      <c r="B432">
        <v>4</v>
      </c>
      <c r="C432" t="s">
        <v>477</v>
      </c>
    </row>
    <row r="433" spans="1:3" ht="14.25" customHeight="1">
      <c r="A433" t="s">
        <v>473</v>
      </c>
      <c r="B433">
        <v>5</v>
      </c>
      <c r="C433" t="s">
        <v>478</v>
      </c>
    </row>
    <row r="434" spans="1:3" ht="14.25" customHeight="1">
      <c r="A434" t="s">
        <v>473</v>
      </c>
      <c r="B434">
        <v>6</v>
      </c>
      <c r="C434" t="s">
        <v>479</v>
      </c>
    </row>
    <row r="435" spans="1:3" ht="14.25" customHeight="1">
      <c r="A435" t="s">
        <v>473</v>
      </c>
      <c r="B435">
        <v>7</v>
      </c>
      <c r="C435" t="s">
        <v>480</v>
      </c>
    </row>
    <row r="436" spans="1:3" ht="14.25" customHeight="1">
      <c r="A436" t="s">
        <v>473</v>
      </c>
      <c r="B436">
        <v>8</v>
      </c>
      <c r="C436" t="s">
        <v>481</v>
      </c>
    </row>
    <row r="437" spans="1:3" ht="14.25" customHeight="1">
      <c r="A437" t="s">
        <v>473</v>
      </c>
      <c r="B437">
        <v>9</v>
      </c>
      <c r="C437" t="s">
        <v>482</v>
      </c>
    </row>
    <row r="438" spans="1:3" ht="14.25" customHeight="1">
      <c r="A438" t="s">
        <v>473</v>
      </c>
      <c r="B438">
        <v>10</v>
      </c>
      <c r="C438" t="s">
        <v>483</v>
      </c>
    </row>
    <row r="439" spans="1:3" ht="14.25" customHeight="1">
      <c r="A439" t="s">
        <v>473</v>
      </c>
      <c r="B439">
        <v>11</v>
      </c>
      <c r="C439" t="s">
        <v>484</v>
      </c>
    </row>
    <row r="440" spans="1:3" ht="14.25" customHeight="1">
      <c r="A440" t="s">
        <v>473</v>
      </c>
      <c r="B440">
        <v>12</v>
      </c>
      <c r="C440" t="s">
        <v>485</v>
      </c>
    </row>
    <row r="441" spans="1:3" ht="14.25" customHeight="1">
      <c r="A441" t="s">
        <v>473</v>
      </c>
      <c r="B441">
        <v>13</v>
      </c>
      <c r="C441" t="s">
        <v>486</v>
      </c>
    </row>
    <row r="442" spans="1:3" ht="14.25" customHeight="1">
      <c r="A442" t="s">
        <v>473</v>
      </c>
      <c r="B442">
        <v>14</v>
      </c>
      <c r="C442" t="s">
        <v>487</v>
      </c>
    </row>
    <row r="443" spans="1:3" ht="14.25" customHeight="1">
      <c r="A443" t="s">
        <v>473</v>
      </c>
      <c r="B443">
        <v>15</v>
      </c>
      <c r="C443" t="s">
        <v>488</v>
      </c>
    </row>
    <row r="444" spans="1:3" ht="14.25" customHeight="1">
      <c r="A444" t="s">
        <v>473</v>
      </c>
      <c r="B444">
        <v>16</v>
      </c>
      <c r="C444" t="s">
        <v>489</v>
      </c>
    </row>
    <row r="445" spans="1:3" ht="14.25" customHeight="1">
      <c r="A445" t="s">
        <v>473</v>
      </c>
      <c r="B445">
        <v>17</v>
      </c>
      <c r="C445" t="s">
        <v>490</v>
      </c>
    </row>
    <row r="446" spans="1:3" ht="14.25" customHeight="1">
      <c r="A446" t="s">
        <v>473</v>
      </c>
      <c r="B446">
        <v>18</v>
      </c>
      <c r="C446" t="s">
        <v>491</v>
      </c>
    </row>
    <row r="447" spans="1:3" ht="14.25" customHeight="1">
      <c r="A447" t="s">
        <v>473</v>
      </c>
      <c r="B447">
        <v>19</v>
      </c>
      <c r="C447" t="s">
        <v>492</v>
      </c>
    </row>
    <row r="448" spans="1:3" ht="14.25" customHeight="1">
      <c r="A448" t="s">
        <v>473</v>
      </c>
      <c r="B448">
        <v>20</v>
      </c>
      <c r="C448" t="s">
        <v>493</v>
      </c>
    </row>
    <row r="449" spans="1:3" ht="14.25" customHeight="1">
      <c r="A449" t="s">
        <v>473</v>
      </c>
      <c r="B449">
        <v>21</v>
      </c>
      <c r="C449" t="s">
        <v>494</v>
      </c>
    </row>
    <row r="450" spans="1:3" ht="14.25" customHeight="1">
      <c r="A450" t="s">
        <v>473</v>
      </c>
      <c r="B450">
        <v>22</v>
      </c>
      <c r="C450" t="s">
        <v>495</v>
      </c>
    </row>
    <row r="451" spans="1:3" ht="14.25" customHeight="1">
      <c r="A451" t="s">
        <v>473</v>
      </c>
      <c r="B451">
        <v>23</v>
      </c>
      <c r="C451" t="s">
        <v>496</v>
      </c>
    </row>
    <row r="452" spans="1:3" ht="14.25" customHeight="1">
      <c r="A452" t="s">
        <v>473</v>
      </c>
      <c r="B452">
        <v>24</v>
      </c>
      <c r="C452" t="s">
        <v>497</v>
      </c>
    </row>
    <row r="453" spans="1:3" ht="14.25" customHeight="1">
      <c r="A453" t="s">
        <v>473</v>
      </c>
      <c r="B453">
        <v>25</v>
      </c>
      <c r="C453" t="s">
        <v>498</v>
      </c>
    </row>
    <row r="454" spans="1:3" ht="14.25" customHeight="1">
      <c r="A454" t="s">
        <v>473</v>
      </c>
      <c r="B454">
        <v>26</v>
      </c>
      <c r="C454" t="s">
        <v>499</v>
      </c>
    </row>
    <row r="455" spans="1:3" ht="14.25" customHeight="1">
      <c r="A455" t="s">
        <v>473</v>
      </c>
      <c r="B455">
        <v>27</v>
      </c>
      <c r="C455" t="s">
        <v>500</v>
      </c>
    </row>
    <row r="456" spans="1:3" ht="14.25" customHeight="1">
      <c r="A456" t="s">
        <v>473</v>
      </c>
      <c r="B456">
        <v>28</v>
      </c>
      <c r="C456" t="s">
        <v>501</v>
      </c>
    </row>
    <row r="457" spans="1:3" ht="14.25" customHeight="1">
      <c r="A457" t="s">
        <v>473</v>
      </c>
      <c r="B457">
        <v>29</v>
      </c>
      <c r="C457" t="s">
        <v>502</v>
      </c>
    </row>
    <row r="458" spans="1:3" ht="14.25" customHeight="1">
      <c r="A458" t="s">
        <v>473</v>
      </c>
      <c r="B458">
        <v>30</v>
      </c>
      <c r="C458" t="s">
        <v>503</v>
      </c>
    </row>
    <row r="459" spans="1:3" ht="14.25" customHeight="1">
      <c r="A459" t="s">
        <v>473</v>
      </c>
      <c r="B459">
        <v>31</v>
      </c>
      <c r="C459" t="s">
        <v>504</v>
      </c>
    </row>
    <row r="460" spans="1:3" ht="14.25" customHeight="1">
      <c r="A460" t="s">
        <v>473</v>
      </c>
      <c r="B460">
        <v>32</v>
      </c>
      <c r="C460" t="s">
        <v>505</v>
      </c>
    </row>
    <row r="461" spans="1:3" ht="14.25" customHeight="1">
      <c r="A461" t="s">
        <v>473</v>
      </c>
      <c r="B461">
        <v>33</v>
      </c>
      <c r="C461" t="s">
        <v>506</v>
      </c>
    </row>
    <row r="462" spans="1:3" ht="14.25" customHeight="1">
      <c r="A462" t="s">
        <v>473</v>
      </c>
      <c r="B462">
        <v>34</v>
      </c>
      <c r="C462" t="s">
        <v>507</v>
      </c>
    </row>
    <row r="463" spans="1:3" ht="14.25" customHeight="1">
      <c r="A463" t="s">
        <v>473</v>
      </c>
      <c r="B463">
        <v>35</v>
      </c>
      <c r="C463" t="s">
        <v>508</v>
      </c>
    </row>
    <row r="464" spans="1:3" ht="14.25" customHeight="1">
      <c r="A464" t="s">
        <v>473</v>
      </c>
      <c r="B464">
        <v>36</v>
      </c>
      <c r="C464" t="s">
        <v>509</v>
      </c>
    </row>
    <row r="465" spans="1:3" ht="14.25" customHeight="1">
      <c r="A465" t="s">
        <v>473</v>
      </c>
      <c r="B465">
        <v>37</v>
      </c>
      <c r="C465" t="s">
        <v>510</v>
      </c>
    </row>
    <row r="466" spans="1:3" ht="14.25" customHeight="1">
      <c r="A466" t="s">
        <v>473</v>
      </c>
      <c r="B466">
        <v>38</v>
      </c>
      <c r="C466" t="s">
        <v>511</v>
      </c>
    </row>
    <row r="467" spans="1:3" ht="14.25" customHeight="1">
      <c r="A467" t="s">
        <v>473</v>
      </c>
      <c r="B467">
        <v>39</v>
      </c>
      <c r="C467" t="s">
        <v>512</v>
      </c>
    </row>
    <row r="468" spans="1:3" ht="14.25" customHeight="1">
      <c r="A468" t="s">
        <v>473</v>
      </c>
      <c r="B468">
        <v>40</v>
      </c>
      <c r="C468" t="s">
        <v>513</v>
      </c>
    </row>
    <row r="469" spans="1:3" ht="14.25" customHeight="1">
      <c r="A469" t="s">
        <v>473</v>
      </c>
      <c r="B469">
        <v>41</v>
      </c>
      <c r="C469" t="s">
        <v>514</v>
      </c>
    </row>
    <row r="470" spans="1:3" ht="14.25" customHeight="1">
      <c r="A470" t="s">
        <v>473</v>
      </c>
      <c r="B470">
        <v>42</v>
      </c>
      <c r="C470" t="s">
        <v>515</v>
      </c>
    </row>
    <row r="471" spans="1:3" ht="14.25" customHeight="1">
      <c r="A471" t="s">
        <v>473</v>
      </c>
      <c r="B471">
        <v>43</v>
      </c>
      <c r="C471" t="s">
        <v>516</v>
      </c>
    </row>
    <row r="472" spans="1:3" ht="14.25" customHeight="1">
      <c r="A472" t="s">
        <v>473</v>
      </c>
      <c r="B472">
        <v>44</v>
      </c>
      <c r="C472" t="s">
        <v>517</v>
      </c>
    </row>
    <row r="473" spans="1:3" ht="14.25" customHeight="1">
      <c r="A473" t="s">
        <v>473</v>
      </c>
      <c r="B473">
        <v>45</v>
      </c>
      <c r="C473" t="s">
        <v>518</v>
      </c>
    </row>
    <row r="474" spans="1:3" ht="14.25" customHeight="1">
      <c r="A474" t="s">
        <v>473</v>
      </c>
      <c r="B474">
        <v>46</v>
      </c>
      <c r="C474" t="s">
        <v>519</v>
      </c>
    </row>
    <row r="475" spans="1:3" ht="14.25" customHeight="1">
      <c r="A475" t="s">
        <v>473</v>
      </c>
      <c r="B475">
        <v>47</v>
      </c>
      <c r="C475" t="s">
        <v>520</v>
      </c>
    </row>
    <row r="476" spans="1:3" ht="14.25" customHeight="1">
      <c r="A476" t="s">
        <v>521</v>
      </c>
      <c r="B476">
        <v>1</v>
      </c>
      <c r="C476" t="s">
        <v>522</v>
      </c>
    </row>
    <row r="477" spans="1:3" ht="14.25" customHeight="1">
      <c r="A477" t="s">
        <v>521</v>
      </c>
      <c r="B477">
        <v>2</v>
      </c>
      <c r="C477" t="s">
        <v>523</v>
      </c>
    </row>
    <row r="478" spans="1:3" ht="14.25" customHeight="1">
      <c r="A478" t="s">
        <v>521</v>
      </c>
      <c r="B478">
        <v>3</v>
      </c>
      <c r="C478" t="s">
        <v>524</v>
      </c>
    </row>
    <row r="479" spans="1:3" ht="14.25" customHeight="1">
      <c r="A479" t="s">
        <v>521</v>
      </c>
      <c r="B479">
        <v>4</v>
      </c>
      <c r="C479" t="s">
        <v>525</v>
      </c>
    </row>
    <row r="480" spans="1:3" ht="14.25" customHeight="1">
      <c r="A480" t="s">
        <v>521</v>
      </c>
      <c r="B480">
        <v>5</v>
      </c>
      <c r="C480" t="s">
        <v>526</v>
      </c>
    </row>
    <row r="481" spans="1:3" ht="14.25" customHeight="1">
      <c r="A481" t="s">
        <v>521</v>
      </c>
      <c r="B481">
        <v>6</v>
      </c>
      <c r="C481" t="s">
        <v>527</v>
      </c>
    </row>
    <row r="482" spans="1:3" ht="14.25" customHeight="1">
      <c r="A482" t="s">
        <v>521</v>
      </c>
      <c r="B482">
        <v>7</v>
      </c>
      <c r="C482" t="s">
        <v>528</v>
      </c>
    </row>
    <row r="483" spans="1:3" ht="14.25" customHeight="1">
      <c r="A483" t="s">
        <v>521</v>
      </c>
      <c r="B483">
        <v>8</v>
      </c>
      <c r="C483" t="s">
        <v>529</v>
      </c>
    </row>
    <row r="484" spans="1:3" ht="14.25" customHeight="1">
      <c r="A484" t="s">
        <v>521</v>
      </c>
      <c r="B484">
        <v>9</v>
      </c>
      <c r="C484" t="s">
        <v>530</v>
      </c>
    </row>
    <row r="485" spans="1:3" ht="14.25" customHeight="1">
      <c r="A485" t="s">
        <v>521</v>
      </c>
      <c r="B485">
        <v>10</v>
      </c>
      <c r="C485" t="s">
        <v>531</v>
      </c>
    </row>
    <row r="486" spans="1:3" ht="14.25" customHeight="1">
      <c r="A486" t="s">
        <v>521</v>
      </c>
      <c r="B486">
        <v>11</v>
      </c>
      <c r="C486" t="s">
        <v>532</v>
      </c>
    </row>
    <row r="487" spans="1:3" ht="14.25" customHeight="1">
      <c r="A487" t="s">
        <v>521</v>
      </c>
      <c r="B487">
        <v>12</v>
      </c>
      <c r="C487" t="s">
        <v>533</v>
      </c>
    </row>
    <row r="488" spans="1:3" ht="14.25" customHeight="1">
      <c r="A488" t="s">
        <v>521</v>
      </c>
      <c r="B488">
        <v>13</v>
      </c>
      <c r="C488" t="s">
        <v>534</v>
      </c>
    </row>
    <row r="489" spans="1:3" ht="14.25" customHeight="1">
      <c r="A489" t="s">
        <v>521</v>
      </c>
      <c r="B489">
        <v>14</v>
      </c>
      <c r="C489" t="s">
        <v>535</v>
      </c>
    </row>
    <row r="490" spans="1:3" ht="14.25" customHeight="1">
      <c r="A490" t="s">
        <v>521</v>
      </c>
      <c r="B490">
        <v>15</v>
      </c>
      <c r="C490" t="s">
        <v>536</v>
      </c>
    </row>
    <row r="491" spans="1:3" ht="14.25" customHeight="1">
      <c r="A491" t="s">
        <v>521</v>
      </c>
      <c r="B491">
        <v>16</v>
      </c>
      <c r="C491" t="s">
        <v>537</v>
      </c>
    </row>
    <row r="492" spans="1:3" ht="14.25" customHeight="1">
      <c r="A492" t="s">
        <v>521</v>
      </c>
      <c r="B492">
        <v>17</v>
      </c>
      <c r="C492" t="s">
        <v>538</v>
      </c>
    </row>
    <row r="493" spans="1:3" ht="14.25" customHeight="1">
      <c r="A493" t="s">
        <v>521</v>
      </c>
      <c r="B493">
        <v>18</v>
      </c>
      <c r="C493" t="s">
        <v>539</v>
      </c>
    </row>
    <row r="494" spans="1:3" ht="14.25" customHeight="1">
      <c r="A494" t="s">
        <v>540</v>
      </c>
      <c r="B494">
        <v>1</v>
      </c>
      <c r="C494" t="s">
        <v>541</v>
      </c>
    </row>
    <row r="495" spans="1:3" ht="14.25" customHeight="1">
      <c r="A495" t="s">
        <v>540</v>
      </c>
      <c r="B495">
        <v>2</v>
      </c>
      <c r="C495" t="s">
        <v>542</v>
      </c>
    </row>
    <row r="496" spans="1:3" ht="14.25" customHeight="1">
      <c r="A496" t="s">
        <v>540</v>
      </c>
      <c r="B496">
        <v>3</v>
      </c>
      <c r="C496" t="s">
        <v>543</v>
      </c>
    </row>
    <row r="497" spans="1:3" ht="14.25" customHeight="1">
      <c r="A497" t="s">
        <v>540</v>
      </c>
      <c r="B497">
        <v>4</v>
      </c>
      <c r="C497" t="s">
        <v>544</v>
      </c>
    </row>
    <row r="498" spans="1:3" ht="14.25" customHeight="1">
      <c r="A498" t="s">
        <v>540</v>
      </c>
      <c r="B498">
        <v>5</v>
      </c>
      <c r="C498" t="s">
        <v>545</v>
      </c>
    </row>
    <row r="499" spans="1:3" ht="14.25" customHeight="1">
      <c r="A499" t="s">
        <v>540</v>
      </c>
      <c r="B499">
        <v>6</v>
      </c>
      <c r="C499" t="s">
        <v>546</v>
      </c>
    </row>
    <row r="500" spans="1:3" ht="14.25" customHeight="1">
      <c r="A500" t="s">
        <v>540</v>
      </c>
      <c r="B500">
        <v>7</v>
      </c>
      <c r="C500" t="s">
        <v>547</v>
      </c>
    </row>
    <row r="501" spans="1:3" ht="14.25" customHeight="1">
      <c r="A501" t="s">
        <v>540</v>
      </c>
      <c r="B501">
        <v>8</v>
      </c>
      <c r="C501" t="s">
        <v>548</v>
      </c>
    </row>
    <row r="502" spans="1:3" ht="14.25" customHeight="1">
      <c r="A502" t="s">
        <v>540</v>
      </c>
      <c r="B502">
        <v>9</v>
      </c>
      <c r="C502" t="s">
        <v>549</v>
      </c>
    </row>
    <row r="503" spans="1:3" ht="14.25" customHeight="1">
      <c r="A503" t="s">
        <v>540</v>
      </c>
      <c r="B503">
        <v>10</v>
      </c>
      <c r="C503" t="s">
        <v>550</v>
      </c>
    </row>
    <row r="504" spans="1:3" ht="14.25" customHeight="1">
      <c r="A504" t="s">
        <v>540</v>
      </c>
      <c r="B504">
        <v>11</v>
      </c>
      <c r="C504" t="s">
        <v>551</v>
      </c>
    </row>
    <row r="505" spans="1:3" ht="14.25" customHeight="1">
      <c r="A505" t="s">
        <v>540</v>
      </c>
      <c r="B505">
        <v>12</v>
      </c>
      <c r="C505" t="s">
        <v>552</v>
      </c>
    </row>
    <row r="506" spans="1:3" ht="14.25" customHeight="1">
      <c r="A506" t="s">
        <v>553</v>
      </c>
      <c r="B506">
        <v>1</v>
      </c>
      <c r="C506" t="s">
        <v>554</v>
      </c>
    </row>
    <row r="507" spans="1:3" ht="14.25" customHeight="1">
      <c r="A507" t="s">
        <v>553</v>
      </c>
      <c r="B507">
        <v>2</v>
      </c>
      <c r="C507" t="s">
        <v>555</v>
      </c>
    </row>
    <row r="508" spans="1:3" ht="14.25" customHeight="1">
      <c r="A508" t="s">
        <v>553</v>
      </c>
      <c r="B508">
        <v>3</v>
      </c>
      <c r="C508" t="s">
        <v>556</v>
      </c>
    </row>
    <row r="509" spans="1:3" ht="14.25" customHeight="1">
      <c r="A509" t="s">
        <v>553</v>
      </c>
      <c r="B509">
        <v>4</v>
      </c>
      <c r="C509" t="s">
        <v>557</v>
      </c>
    </row>
    <row r="510" spans="1:3" ht="14.25" customHeight="1">
      <c r="A510" t="s">
        <v>553</v>
      </c>
      <c r="B510">
        <v>5</v>
      </c>
      <c r="C510" t="s">
        <v>558</v>
      </c>
    </row>
    <row r="511" spans="1:3" ht="14.25" customHeight="1">
      <c r="A511" t="s">
        <v>559</v>
      </c>
      <c r="B511">
        <v>1</v>
      </c>
      <c r="C511" t="s">
        <v>560</v>
      </c>
    </row>
    <row r="512" spans="1:3" ht="14.25" customHeight="1">
      <c r="A512" t="s">
        <v>559</v>
      </c>
      <c r="B512">
        <v>2</v>
      </c>
      <c r="C512" t="s">
        <v>561</v>
      </c>
    </row>
    <row r="513" spans="1:3" ht="14.25" customHeight="1">
      <c r="A513" t="s">
        <v>559</v>
      </c>
      <c r="B513">
        <v>3</v>
      </c>
      <c r="C513" t="s">
        <v>562</v>
      </c>
    </row>
    <row r="514" spans="1:3" ht="14.25" customHeight="1">
      <c r="A514" t="s">
        <v>559</v>
      </c>
      <c r="B514">
        <v>4</v>
      </c>
      <c r="C514" t="s">
        <v>563</v>
      </c>
    </row>
    <row r="515" spans="1:3" ht="14.25" customHeight="1">
      <c r="A515" t="s">
        <v>559</v>
      </c>
      <c r="B515">
        <v>5</v>
      </c>
      <c r="C515" t="s">
        <v>564</v>
      </c>
    </row>
    <row r="516" spans="1:3" ht="14.25" customHeight="1">
      <c r="A516" t="s">
        <v>559</v>
      </c>
      <c r="B516">
        <v>6</v>
      </c>
      <c r="C516" t="s">
        <v>565</v>
      </c>
    </row>
    <row r="517" spans="1:3" ht="14.25" customHeight="1">
      <c r="A517" t="s">
        <v>559</v>
      </c>
      <c r="B517">
        <v>7</v>
      </c>
      <c r="C517" t="s">
        <v>566</v>
      </c>
    </row>
    <row r="518" spans="1:3" ht="14.25" customHeight="1">
      <c r="A518" t="s">
        <v>559</v>
      </c>
      <c r="B518">
        <v>8</v>
      </c>
      <c r="C518" t="s">
        <v>567</v>
      </c>
    </row>
    <row r="519" spans="1:3" ht="14.25" customHeight="1">
      <c r="A519" t="s">
        <v>568</v>
      </c>
      <c r="B519">
        <v>1</v>
      </c>
      <c r="C519" t="s">
        <v>569</v>
      </c>
    </row>
    <row r="520" spans="1:3" ht="14.25" customHeight="1">
      <c r="A520" t="s">
        <v>568</v>
      </c>
      <c r="B520">
        <v>2</v>
      </c>
      <c r="C520" t="s">
        <v>570</v>
      </c>
    </row>
    <row r="521" spans="1:3" ht="14.25" customHeight="1">
      <c r="A521" t="s">
        <v>568</v>
      </c>
      <c r="B521">
        <v>3</v>
      </c>
      <c r="C521" t="s">
        <v>571</v>
      </c>
    </row>
    <row r="522" spans="1:3" ht="14.25" customHeight="1">
      <c r="A522" t="s">
        <v>568</v>
      </c>
      <c r="B522">
        <v>4</v>
      </c>
      <c r="C522" t="s">
        <v>572</v>
      </c>
    </row>
    <row r="523" spans="1:3" ht="14.25" customHeight="1">
      <c r="A523" t="s">
        <v>568</v>
      </c>
      <c r="B523">
        <v>5</v>
      </c>
      <c r="C523" t="s">
        <v>573</v>
      </c>
    </row>
    <row r="524" spans="1:3" ht="14.25" customHeight="1">
      <c r="A524" t="s">
        <v>568</v>
      </c>
      <c r="B524">
        <v>6</v>
      </c>
      <c r="C524" t="s">
        <v>574</v>
      </c>
    </row>
    <row r="525" spans="1:3" ht="14.25" customHeight="1">
      <c r="A525" t="s">
        <v>568</v>
      </c>
      <c r="B525">
        <v>7</v>
      </c>
      <c r="C525" t="s">
        <v>575</v>
      </c>
    </row>
    <row r="526" spans="1:3" ht="14.25" customHeight="1">
      <c r="A526" t="s">
        <v>568</v>
      </c>
      <c r="B526">
        <v>8</v>
      </c>
      <c r="C526" t="s">
        <v>576</v>
      </c>
    </row>
    <row r="527" spans="1:3" ht="14.25" customHeight="1">
      <c r="A527" t="s">
        <v>568</v>
      </c>
      <c r="B527">
        <v>9</v>
      </c>
      <c r="C527" t="s">
        <v>577</v>
      </c>
    </row>
    <row r="528" spans="1:3" ht="14.25" customHeight="1">
      <c r="A528" t="s">
        <v>568</v>
      </c>
      <c r="B528">
        <v>10</v>
      </c>
      <c r="C528" t="s">
        <v>578</v>
      </c>
    </row>
    <row r="529" spans="1:3" ht="14.25" customHeight="1">
      <c r="A529" t="s">
        <v>568</v>
      </c>
      <c r="B529">
        <v>11</v>
      </c>
      <c r="C529" t="s">
        <v>579</v>
      </c>
    </row>
    <row r="530" spans="1:3" ht="14.25" customHeight="1">
      <c r="A530" t="s">
        <v>580</v>
      </c>
      <c r="B530">
        <v>1</v>
      </c>
      <c r="C530" t="s">
        <v>581</v>
      </c>
    </row>
    <row r="531" spans="1:3" ht="14.25" customHeight="1">
      <c r="A531" t="s">
        <v>580</v>
      </c>
      <c r="B531">
        <v>2</v>
      </c>
      <c r="C531" t="s">
        <v>582</v>
      </c>
    </row>
    <row r="532" spans="1:3" ht="14.25" customHeight="1">
      <c r="A532" t="s">
        <v>580</v>
      </c>
      <c r="B532">
        <v>3</v>
      </c>
      <c r="C532" t="s">
        <v>583</v>
      </c>
    </row>
    <row r="533" spans="1:3" ht="14.25" customHeight="1">
      <c r="A533" t="s">
        <v>580</v>
      </c>
      <c r="B533">
        <v>4</v>
      </c>
      <c r="C533" t="s">
        <v>584</v>
      </c>
    </row>
    <row r="534" spans="1:3" ht="14.25" customHeight="1">
      <c r="A534" t="s">
        <v>580</v>
      </c>
      <c r="B534">
        <v>5</v>
      </c>
      <c r="C534" t="s">
        <v>585</v>
      </c>
    </row>
    <row r="535" spans="1:3" ht="14.25" customHeight="1">
      <c r="A535" t="s">
        <v>580</v>
      </c>
      <c r="B535">
        <v>6</v>
      </c>
      <c r="C535" t="s">
        <v>586</v>
      </c>
    </row>
    <row r="536" spans="1:3" ht="14.25" customHeight="1">
      <c r="A536" t="s">
        <v>580</v>
      </c>
      <c r="B536">
        <v>7</v>
      </c>
      <c r="C536" t="s">
        <v>587</v>
      </c>
    </row>
    <row r="537" spans="1:3" ht="14.25" customHeight="1">
      <c r="A537" t="s">
        <v>580</v>
      </c>
      <c r="B537">
        <v>8</v>
      </c>
      <c r="C537" t="s">
        <v>588</v>
      </c>
    </row>
    <row r="538" spans="1:3" ht="14.25" customHeight="1">
      <c r="A538" t="s">
        <v>580</v>
      </c>
      <c r="B538">
        <v>9</v>
      </c>
      <c r="C538" t="s">
        <v>589</v>
      </c>
    </row>
    <row r="539" spans="1:3" ht="14.25" customHeight="1">
      <c r="A539" t="s">
        <v>580</v>
      </c>
      <c r="B539">
        <v>10</v>
      </c>
      <c r="C539" t="s">
        <v>590</v>
      </c>
    </row>
    <row r="540" spans="1:3" ht="14.25" customHeight="1">
      <c r="A540" t="s">
        <v>580</v>
      </c>
      <c r="B540">
        <v>11</v>
      </c>
      <c r="C540" t="s">
        <v>591</v>
      </c>
    </row>
    <row r="541" spans="1:3" ht="14.25" customHeight="1">
      <c r="A541" t="s">
        <v>580</v>
      </c>
      <c r="B541">
        <v>12</v>
      </c>
      <c r="C541" t="s">
        <v>592</v>
      </c>
    </row>
    <row r="542" spans="1:3" ht="14.25" customHeight="1">
      <c r="A542" t="s">
        <v>580</v>
      </c>
      <c r="B542">
        <v>13</v>
      </c>
      <c r="C542" t="s">
        <v>593</v>
      </c>
    </row>
    <row r="543" spans="1:3" ht="14.25" customHeight="1">
      <c r="A543" t="s">
        <v>580</v>
      </c>
      <c r="B543">
        <v>14</v>
      </c>
      <c r="C543" t="s">
        <v>594</v>
      </c>
    </row>
    <row r="544" spans="1:3" ht="14.25" customHeight="1">
      <c r="A544" t="s">
        <v>580</v>
      </c>
      <c r="B544">
        <v>15</v>
      </c>
      <c r="C544" t="s">
        <v>595</v>
      </c>
    </row>
    <row r="545" spans="1:3" ht="14.25" customHeight="1">
      <c r="A545" t="s">
        <v>580</v>
      </c>
      <c r="B545">
        <v>16</v>
      </c>
      <c r="C545" t="s">
        <v>596</v>
      </c>
    </row>
    <row r="546" spans="1:3" ht="14.25" customHeight="1">
      <c r="A546" t="s">
        <v>580</v>
      </c>
      <c r="B546">
        <v>17</v>
      </c>
      <c r="C546" t="s">
        <v>597</v>
      </c>
    </row>
    <row r="547" spans="1:3" ht="14.25" customHeight="1">
      <c r="A547" t="s">
        <v>580</v>
      </c>
      <c r="B547">
        <v>18</v>
      </c>
      <c r="C547" t="s">
        <v>598</v>
      </c>
    </row>
    <row r="548" spans="1:3" ht="14.25" customHeight="1">
      <c r="A548" t="s">
        <v>580</v>
      </c>
      <c r="B548">
        <v>19</v>
      </c>
      <c r="C548" t="s">
        <v>599</v>
      </c>
    </row>
    <row r="549" spans="1:3" ht="14.25" customHeight="1">
      <c r="A549" t="s">
        <v>580</v>
      </c>
      <c r="B549">
        <v>20</v>
      </c>
      <c r="C549" t="s">
        <v>600</v>
      </c>
    </row>
    <row r="550" spans="1:3" ht="14.25" customHeight="1">
      <c r="A550" t="s">
        <v>580</v>
      </c>
      <c r="B550">
        <v>21</v>
      </c>
      <c r="C550" t="s">
        <v>601</v>
      </c>
    </row>
    <row r="551" spans="1:3" ht="14.25" customHeight="1">
      <c r="A551" t="s">
        <v>580</v>
      </c>
      <c r="B551">
        <v>22</v>
      </c>
      <c r="C551" t="s">
        <v>602</v>
      </c>
    </row>
    <row r="552" spans="1:3" ht="14.25" customHeight="1">
      <c r="A552" t="s">
        <v>580</v>
      </c>
      <c r="B552">
        <v>23</v>
      </c>
      <c r="C552" t="s">
        <v>603</v>
      </c>
    </row>
    <row r="553" spans="1:3" ht="14.25" customHeight="1">
      <c r="A553" t="s">
        <v>580</v>
      </c>
      <c r="B553">
        <v>24</v>
      </c>
      <c r="C553" t="s">
        <v>604</v>
      </c>
    </row>
    <row r="554" spans="1:3" ht="14.25" customHeight="1">
      <c r="A554" t="s">
        <v>580</v>
      </c>
      <c r="B554">
        <v>25</v>
      </c>
      <c r="C554" t="s">
        <v>605</v>
      </c>
    </row>
    <row r="555" spans="1:3" ht="14.25" customHeight="1">
      <c r="A555" t="s">
        <v>580</v>
      </c>
      <c r="B555">
        <v>26</v>
      </c>
      <c r="C555" t="s">
        <v>606</v>
      </c>
    </row>
    <row r="556" spans="1:3" ht="14.25" customHeight="1">
      <c r="A556" t="s">
        <v>580</v>
      </c>
      <c r="B556">
        <v>27</v>
      </c>
      <c r="C556" t="s">
        <v>607</v>
      </c>
    </row>
    <row r="557" spans="1:3" ht="14.25" customHeight="1">
      <c r="A557" t="s">
        <v>580</v>
      </c>
      <c r="B557">
        <v>28</v>
      </c>
      <c r="C557" t="s">
        <v>608</v>
      </c>
    </row>
    <row r="558" spans="1:3" ht="14.25" customHeight="1">
      <c r="A558" t="s">
        <v>580</v>
      </c>
      <c r="B558">
        <v>29</v>
      </c>
      <c r="C558" t="s">
        <v>609</v>
      </c>
    </row>
    <row r="559" spans="1:3" ht="14.25" customHeight="1">
      <c r="A559" t="s">
        <v>580</v>
      </c>
      <c r="B559">
        <v>30</v>
      </c>
      <c r="C559" t="s">
        <v>610</v>
      </c>
    </row>
    <row r="560" spans="1:3" ht="14.25" customHeight="1">
      <c r="A560" t="s">
        <v>580</v>
      </c>
      <c r="B560">
        <v>31</v>
      </c>
      <c r="C560" t="s">
        <v>611</v>
      </c>
    </row>
    <row r="561" spans="1:3" ht="14.25" customHeight="1">
      <c r="A561" t="s">
        <v>580</v>
      </c>
      <c r="B561">
        <v>32</v>
      </c>
      <c r="C561" t="s">
        <v>612</v>
      </c>
    </row>
    <row r="562" spans="1:3" ht="14.25" customHeight="1">
      <c r="A562" t="s">
        <v>580</v>
      </c>
      <c r="B562">
        <v>33</v>
      </c>
      <c r="C562" t="s">
        <v>613</v>
      </c>
    </row>
    <row r="563" spans="1:3" ht="14.25" customHeight="1">
      <c r="A563" t="s">
        <v>580</v>
      </c>
      <c r="B563">
        <v>34</v>
      </c>
      <c r="C563" t="s">
        <v>614</v>
      </c>
    </row>
    <row r="564" spans="1:3" ht="14.25" customHeight="1">
      <c r="A564" t="s">
        <v>580</v>
      </c>
      <c r="B564">
        <v>35</v>
      </c>
      <c r="C564" t="s">
        <v>615</v>
      </c>
    </row>
    <row r="565" spans="1:3" ht="14.25" customHeight="1">
      <c r="A565" t="s">
        <v>580</v>
      </c>
      <c r="B565">
        <v>36</v>
      </c>
      <c r="C565" t="s">
        <v>616</v>
      </c>
    </row>
    <row r="566" spans="1:3" ht="14.25" customHeight="1">
      <c r="A566" t="s">
        <v>580</v>
      </c>
      <c r="B566">
        <v>37</v>
      </c>
      <c r="C566" t="s">
        <v>617</v>
      </c>
    </row>
    <row r="567" spans="1:3" ht="14.25" customHeight="1">
      <c r="A567" t="s">
        <v>580</v>
      </c>
      <c r="B567">
        <v>38</v>
      </c>
      <c r="C567" t="s">
        <v>618</v>
      </c>
    </row>
    <row r="568" spans="1:3" ht="14.25" customHeight="1">
      <c r="A568" t="s">
        <v>580</v>
      </c>
      <c r="B568">
        <v>39</v>
      </c>
      <c r="C568" t="s">
        <v>619</v>
      </c>
    </row>
    <row r="569" spans="1:3" ht="14.25" customHeight="1">
      <c r="A569" t="s">
        <v>580</v>
      </c>
      <c r="B569">
        <v>40</v>
      </c>
      <c r="C569" t="s">
        <v>620</v>
      </c>
    </row>
    <row r="570" spans="1:3" ht="14.25" customHeight="1">
      <c r="A570" t="s">
        <v>580</v>
      </c>
      <c r="B570">
        <v>41</v>
      </c>
      <c r="C570" t="s">
        <v>621</v>
      </c>
    </row>
    <row r="571" spans="1:3" ht="14.25" customHeight="1">
      <c r="A571" t="s">
        <v>580</v>
      </c>
      <c r="B571">
        <v>42</v>
      </c>
      <c r="C571" t="s">
        <v>622</v>
      </c>
    </row>
    <row r="572" spans="1:3" ht="14.25" customHeight="1">
      <c r="A572" t="s">
        <v>580</v>
      </c>
      <c r="B572">
        <v>43</v>
      </c>
      <c r="C572" t="s">
        <v>623</v>
      </c>
    </row>
    <row r="573" spans="1:3" ht="14.25" customHeight="1">
      <c r="A573" t="s">
        <v>580</v>
      </c>
      <c r="B573">
        <v>44</v>
      </c>
      <c r="C573" t="s">
        <v>624</v>
      </c>
    </row>
    <row r="574" spans="1:3" ht="14.25" customHeight="1">
      <c r="A574" t="s">
        <v>580</v>
      </c>
      <c r="B574">
        <v>45</v>
      </c>
      <c r="C574" t="s">
        <v>625</v>
      </c>
    </row>
    <row r="575" spans="1:3" ht="14.25" customHeight="1">
      <c r="A575" t="s">
        <v>580</v>
      </c>
      <c r="B575">
        <v>46</v>
      </c>
      <c r="C575" t="s">
        <v>626</v>
      </c>
    </row>
    <row r="576" spans="1:3" ht="14.25" customHeight="1">
      <c r="A576" t="s">
        <v>580</v>
      </c>
      <c r="B576">
        <v>47</v>
      </c>
      <c r="C576" t="s">
        <v>627</v>
      </c>
    </row>
    <row r="577" spans="1:3" ht="14.25" customHeight="1">
      <c r="A577" t="s">
        <v>580</v>
      </c>
      <c r="B577">
        <v>48</v>
      </c>
      <c r="C577" t="s">
        <v>628</v>
      </c>
    </row>
    <row r="578" spans="1:3" ht="14.25" customHeight="1">
      <c r="A578" t="s">
        <v>580</v>
      </c>
      <c r="B578">
        <v>49</v>
      </c>
      <c r="C578" t="s">
        <v>629</v>
      </c>
    </row>
    <row r="579" spans="1:3" ht="14.25" customHeight="1">
      <c r="A579" t="s">
        <v>580</v>
      </c>
      <c r="B579">
        <v>50</v>
      </c>
      <c r="C579" t="s">
        <v>630</v>
      </c>
    </row>
    <row r="580" spans="1:3" ht="14.25" customHeight="1">
      <c r="A580" t="s">
        <v>580</v>
      </c>
      <c r="B580">
        <v>51</v>
      </c>
      <c r="C580" t="s">
        <v>631</v>
      </c>
    </row>
    <row r="581" spans="1:3" ht="14.25" customHeight="1">
      <c r="A581" t="s">
        <v>580</v>
      </c>
      <c r="B581">
        <v>52</v>
      </c>
      <c r="C581" t="s">
        <v>632</v>
      </c>
    </row>
    <row r="582" spans="1:3" ht="14.25" customHeight="1">
      <c r="A582" t="s">
        <v>580</v>
      </c>
      <c r="B582">
        <v>53</v>
      </c>
      <c r="C582" t="s">
        <v>633</v>
      </c>
    </row>
    <row r="583" spans="1:3" ht="14.25" customHeight="1">
      <c r="A583" t="s">
        <v>580</v>
      </c>
      <c r="B583">
        <v>54</v>
      </c>
      <c r="C583" t="s">
        <v>634</v>
      </c>
    </row>
    <row r="584" spans="1:3" ht="14.25" customHeight="1">
      <c r="A584" t="s">
        <v>580</v>
      </c>
      <c r="B584">
        <v>55</v>
      </c>
      <c r="C584" t="s">
        <v>635</v>
      </c>
    </row>
    <row r="585" spans="1:3" ht="14.25" customHeight="1">
      <c r="A585" t="s">
        <v>580</v>
      </c>
      <c r="B585">
        <v>56</v>
      </c>
      <c r="C585" t="s">
        <v>636</v>
      </c>
    </row>
    <row r="586" spans="1:3" ht="14.25" customHeight="1">
      <c r="A586" t="s">
        <v>580</v>
      </c>
      <c r="B586">
        <v>57</v>
      </c>
      <c r="C586" t="s">
        <v>637</v>
      </c>
    </row>
    <row r="587" spans="1:3" ht="14.25" customHeight="1">
      <c r="A587" t="s">
        <v>580</v>
      </c>
      <c r="B587">
        <v>58</v>
      </c>
      <c r="C587" t="s">
        <v>638</v>
      </c>
    </row>
    <row r="588" spans="1:3" ht="14.25" customHeight="1">
      <c r="A588" t="s">
        <v>580</v>
      </c>
      <c r="B588">
        <v>59</v>
      </c>
      <c r="C588" t="s">
        <v>639</v>
      </c>
    </row>
    <row r="589" spans="1:3" ht="14.25" customHeight="1">
      <c r="A589" t="s">
        <v>580</v>
      </c>
      <c r="B589">
        <v>60</v>
      </c>
      <c r="C589" t="s">
        <v>640</v>
      </c>
    </row>
    <row r="590" spans="1:3" ht="14.25" customHeight="1">
      <c r="A590" t="s">
        <v>580</v>
      </c>
      <c r="B590">
        <v>61</v>
      </c>
      <c r="C590" t="s">
        <v>641</v>
      </c>
    </row>
    <row r="591" spans="1:3" ht="14.25" customHeight="1">
      <c r="A591" t="s">
        <v>580</v>
      </c>
      <c r="B591">
        <v>62</v>
      </c>
      <c r="C591" t="s">
        <v>642</v>
      </c>
    </row>
    <row r="592" spans="1:3" ht="14.25" customHeight="1">
      <c r="A592" t="s">
        <v>580</v>
      </c>
      <c r="B592">
        <v>63</v>
      </c>
      <c r="C592" t="s">
        <v>643</v>
      </c>
    </row>
    <row r="593" spans="1:3" ht="14.25" customHeight="1">
      <c r="A593" t="s">
        <v>580</v>
      </c>
      <c r="B593">
        <v>64</v>
      </c>
      <c r="C593" t="s">
        <v>644</v>
      </c>
    </row>
    <row r="594" spans="1:3" ht="14.25" customHeight="1">
      <c r="A594" t="s">
        <v>580</v>
      </c>
      <c r="B594">
        <v>65</v>
      </c>
      <c r="C594" t="s">
        <v>645</v>
      </c>
    </row>
    <row r="595" spans="1:3" ht="14.25" customHeight="1">
      <c r="A595" t="s">
        <v>580</v>
      </c>
      <c r="B595">
        <v>66</v>
      </c>
      <c r="C595" t="s">
        <v>646</v>
      </c>
    </row>
    <row r="596" spans="1:3" ht="14.25" customHeight="1">
      <c r="A596" t="s">
        <v>580</v>
      </c>
      <c r="B596">
        <v>67</v>
      </c>
      <c r="C596" t="s">
        <v>647</v>
      </c>
    </row>
    <row r="597" spans="1:3" ht="14.25" customHeight="1">
      <c r="A597" t="s">
        <v>580</v>
      </c>
      <c r="B597">
        <v>68</v>
      </c>
      <c r="C597" t="s">
        <v>648</v>
      </c>
    </row>
    <row r="598" spans="1:3" ht="14.25" customHeight="1">
      <c r="A598" t="s">
        <v>580</v>
      </c>
      <c r="B598">
        <v>69</v>
      </c>
      <c r="C598" t="s">
        <v>649</v>
      </c>
    </row>
    <row r="599" spans="1:3" ht="14.25" customHeight="1">
      <c r="A599" t="s">
        <v>580</v>
      </c>
      <c r="B599">
        <v>70</v>
      </c>
      <c r="C599" t="s">
        <v>650</v>
      </c>
    </row>
    <row r="600" spans="1:3" ht="14.25" customHeight="1">
      <c r="A600" t="s">
        <v>580</v>
      </c>
      <c r="B600">
        <v>71</v>
      </c>
      <c r="C600" t="s">
        <v>651</v>
      </c>
    </row>
    <row r="601" spans="1:3" ht="14.25" customHeight="1">
      <c r="A601" t="s">
        <v>580</v>
      </c>
      <c r="B601">
        <v>72</v>
      </c>
      <c r="C601" t="s">
        <v>652</v>
      </c>
    </row>
    <row r="602" spans="1:3" ht="14.25" customHeight="1">
      <c r="A602" t="s">
        <v>580</v>
      </c>
      <c r="B602">
        <v>73</v>
      </c>
      <c r="C602" t="s">
        <v>653</v>
      </c>
    </row>
    <row r="603" spans="1:3" ht="14.25" customHeight="1">
      <c r="A603" t="s">
        <v>580</v>
      </c>
      <c r="B603">
        <v>74</v>
      </c>
      <c r="C603" t="s">
        <v>654</v>
      </c>
    </row>
    <row r="604" spans="1:3" ht="14.25" customHeight="1">
      <c r="A604" t="s">
        <v>580</v>
      </c>
      <c r="B604">
        <v>75</v>
      </c>
      <c r="C604" t="s">
        <v>655</v>
      </c>
    </row>
    <row r="605" spans="1:3" ht="14.25" customHeight="1">
      <c r="A605" t="s">
        <v>580</v>
      </c>
      <c r="B605">
        <v>76</v>
      </c>
      <c r="C605" t="s">
        <v>656</v>
      </c>
    </row>
    <row r="606" spans="1:3" ht="14.25" customHeight="1">
      <c r="A606" t="s">
        <v>580</v>
      </c>
      <c r="B606">
        <v>77</v>
      </c>
      <c r="C606" t="s">
        <v>657</v>
      </c>
    </row>
    <row r="607" spans="1:3" ht="14.25" customHeight="1">
      <c r="A607" t="s">
        <v>580</v>
      </c>
      <c r="B607">
        <v>78</v>
      </c>
      <c r="C607" t="s">
        <v>658</v>
      </c>
    </row>
    <row r="608" spans="1:3" ht="14.25" customHeight="1">
      <c r="A608" t="s">
        <v>580</v>
      </c>
      <c r="B608">
        <v>79</v>
      </c>
      <c r="C608" t="s">
        <v>659</v>
      </c>
    </row>
    <row r="609" spans="1:3" ht="14.25" customHeight="1">
      <c r="A609" t="s">
        <v>580</v>
      </c>
      <c r="B609">
        <v>80</v>
      </c>
      <c r="C609" t="s">
        <v>660</v>
      </c>
    </row>
    <row r="610" spans="1:3" ht="14.25" customHeight="1">
      <c r="A610" t="s">
        <v>580</v>
      </c>
      <c r="B610">
        <v>81</v>
      </c>
      <c r="C610" t="s">
        <v>661</v>
      </c>
    </row>
    <row r="611" spans="1:3" ht="14.25" customHeight="1">
      <c r="A611" t="s">
        <v>580</v>
      </c>
      <c r="B611">
        <v>82</v>
      </c>
      <c r="C611" t="s">
        <v>662</v>
      </c>
    </row>
    <row r="612" spans="1:3" ht="14.25" customHeight="1">
      <c r="A612" t="s">
        <v>580</v>
      </c>
      <c r="B612">
        <v>83</v>
      </c>
      <c r="C612" t="s">
        <v>663</v>
      </c>
    </row>
    <row r="613" spans="1:3" ht="14.25" customHeight="1">
      <c r="A613" t="s">
        <v>580</v>
      </c>
      <c r="B613">
        <v>84</v>
      </c>
      <c r="C613" t="s">
        <v>664</v>
      </c>
    </row>
    <row r="614" spans="1:3" ht="14.25" customHeight="1">
      <c r="A614" t="s">
        <v>580</v>
      </c>
      <c r="B614">
        <v>85</v>
      </c>
      <c r="C614" t="s">
        <v>665</v>
      </c>
    </row>
    <row r="615" spans="1:3" ht="14.25" customHeight="1">
      <c r="A615" t="s">
        <v>580</v>
      </c>
      <c r="B615">
        <v>86</v>
      </c>
      <c r="C615" t="s">
        <v>666</v>
      </c>
    </row>
    <row r="616" spans="1:3" ht="14.25" customHeight="1">
      <c r="A616" t="s">
        <v>580</v>
      </c>
      <c r="B616">
        <v>87</v>
      </c>
      <c r="C616" t="s">
        <v>667</v>
      </c>
    </row>
    <row r="617" spans="1:3" ht="14.25" customHeight="1">
      <c r="A617" t="s">
        <v>580</v>
      </c>
      <c r="B617">
        <v>88</v>
      </c>
      <c r="C617" t="s">
        <v>668</v>
      </c>
    </row>
    <row r="618" spans="1:3" ht="14.25" customHeight="1">
      <c r="A618" t="s">
        <v>580</v>
      </c>
      <c r="B618">
        <v>89</v>
      </c>
      <c r="C618" t="s">
        <v>669</v>
      </c>
    </row>
    <row r="619" spans="1:3" ht="14.25" customHeight="1">
      <c r="A619" t="s">
        <v>580</v>
      </c>
      <c r="B619">
        <v>90</v>
      </c>
      <c r="C619" t="s">
        <v>670</v>
      </c>
    </row>
    <row r="620" spans="1:3" ht="14.25" customHeight="1">
      <c r="A620" t="s">
        <v>580</v>
      </c>
      <c r="B620">
        <v>91</v>
      </c>
      <c r="C620" t="s">
        <v>671</v>
      </c>
    </row>
    <row r="621" spans="1:3" ht="14.25" customHeight="1">
      <c r="A621" t="s">
        <v>580</v>
      </c>
      <c r="B621">
        <v>92</v>
      </c>
      <c r="C621" t="s">
        <v>672</v>
      </c>
    </row>
    <row r="622" spans="1:3" ht="14.25" customHeight="1">
      <c r="A622" t="s">
        <v>580</v>
      </c>
      <c r="B622">
        <v>93</v>
      </c>
      <c r="C622" t="s">
        <v>673</v>
      </c>
    </row>
    <row r="623" spans="1:3" ht="14.25" customHeight="1">
      <c r="A623" t="s">
        <v>580</v>
      </c>
      <c r="B623">
        <v>94</v>
      </c>
      <c r="C623" t="s">
        <v>674</v>
      </c>
    </row>
    <row r="624" spans="1:3" ht="14.25" customHeight="1">
      <c r="A624" t="s">
        <v>580</v>
      </c>
      <c r="B624">
        <v>95</v>
      </c>
      <c r="C624" t="s">
        <v>675</v>
      </c>
    </row>
    <row r="625" spans="1:3" ht="14.25" customHeight="1">
      <c r="A625" t="s">
        <v>580</v>
      </c>
      <c r="B625">
        <v>96</v>
      </c>
      <c r="C625" t="s">
        <v>676</v>
      </c>
    </row>
    <row r="626" spans="1:3" ht="14.25" customHeight="1">
      <c r="A626" t="s">
        <v>580</v>
      </c>
      <c r="B626">
        <v>97</v>
      </c>
      <c r="C626" t="s">
        <v>677</v>
      </c>
    </row>
    <row r="627" spans="1:3" ht="14.25" customHeight="1">
      <c r="A627" t="s">
        <v>580</v>
      </c>
      <c r="B627">
        <v>98</v>
      </c>
      <c r="C627" t="s">
        <v>678</v>
      </c>
    </row>
    <row r="628" spans="1:3" ht="14.25" customHeight="1">
      <c r="A628" t="s">
        <v>580</v>
      </c>
      <c r="B628">
        <v>99</v>
      </c>
      <c r="C628" t="s">
        <v>679</v>
      </c>
    </row>
    <row r="629" spans="1:3" ht="14.25" customHeight="1">
      <c r="A629" t="s">
        <v>580</v>
      </c>
      <c r="B629">
        <v>100</v>
      </c>
      <c r="C629" t="s">
        <v>680</v>
      </c>
    </row>
    <row r="630" spans="1:3" ht="14.25" customHeight="1">
      <c r="A630" t="s">
        <v>580</v>
      </c>
      <c r="B630">
        <v>101</v>
      </c>
      <c r="C630" t="s">
        <v>681</v>
      </c>
    </row>
    <row r="631" spans="1:3" ht="14.25" customHeight="1">
      <c r="A631" t="s">
        <v>580</v>
      </c>
      <c r="B631">
        <v>102</v>
      </c>
      <c r="C631" t="s">
        <v>682</v>
      </c>
    </row>
    <row r="632" spans="1:3" ht="14.25" customHeight="1">
      <c r="A632" t="s">
        <v>580</v>
      </c>
      <c r="B632">
        <v>103</v>
      </c>
      <c r="C632" t="s">
        <v>683</v>
      </c>
    </row>
    <row r="633" spans="1:3" ht="14.25" customHeight="1">
      <c r="A633" t="s">
        <v>580</v>
      </c>
      <c r="B633">
        <v>104</v>
      </c>
      <c r="C633" t="s">
        <v>684</v>
      </c>
    </row>
    <row r="634" spans="1:3" ht="14.25" customHeight="1">
      <c r="A634" t="s">
        <v>580</v>
      </c>
      <c r="B634">
        <v>105</v>
      </c>
      <c r="C634" t="s">
        <v>685</v>
      </c>
    </row>
    <row r="635" spans="1:3" ht="14.25" customHeight="1">
      <c r="A635" t="s">
        <v>580</v>
      </c>
      <c r="B635">
        <v>106</v>
      </c>
      <c r="C635" t="s">
        <v>686</v>
      </c>
    </row>
    <row r="636" spans="1:3" ht="14.25" customHeight="1">
      <c r="A636" t="s">
        <v>580</v>
      </c>
      <c r="B636">
        <v>107</v>
      </c>
      <c r="C636" t="s">
        <v>687</v>
      </c>
    </row>
    <row r="637" spans="1:3" ht="14.25" customHeight="1">
      <c r="A637" t="s">
        <v>580</v>
      </c>
      <c r="B637">
        <v>108</v>
      </c>
      <c r="C637" t="s">
        <v>688</v>
      </c>
    </row>
    <row r="638" spans="1:3" ht="14.25" customHeight="1">
      <c r="A638" t="s">
        <v>580</v>
      </c>
      <c r="B638">
        <v>109</v>
      </c>
      <c r="C638" t="s">
        <v>689</v>
      </c>
    </row>
    <row r="639" spans="1:3" ht="14.25" customHeight="1">
      <c r="A639" t="s">
        <v>580</v>
      </c>
      <c r="B639">
        <v>110</v>
      </c>
      <c r="C639" t="s">
        <v>690</v>
      </c>
    </row>
    <row r="640" spans="1:3" ht="14.25" customHeight="1">
      <c r="A640" t="s">
        <v>580</v>
      </c>
      <c r="B640">
        <v>111</v>
      </c>
      <c r="C640" t="s">
        <v>691</v>
      </c>
    </row>
    <row r="641" spans="1:3" ht="14.25" customHeight="1">
      <c r="A641" t="s">
        <v>580</v>
      </c>
      <c r="B641">
        <v>112</v>
      </c>
      <c r="C641" t="s">
        <v>692</v>
      </c>
    </row>
    <row r="642" spans="1:3" ht="14.25" customHeight="1">
      <c r="A642" t="s">
        <v>580</v>
      </c>
      <c r="B642">
        <v>113</v>
      </c>
      <c r="C642" t="s">
        <v>693</v>
      </c>
    </row>
    <row r="643" spans="1:3" ht="14.25" customHeight="1">
      <c r="A643" t="s">
        <v>580</v>
      </c>
      <c r="B643">
        <v>114</v>
      </c>
      <c r="C643" t="s">
        <v>694</v>
      </c>
    </row>
    <row r="644" spans="1:3" ht="14.25" customHeight="1">
      <c r="A644" t="s">
        <v>580</v>
      </c>
      <c r="B644">
        <v>115</v>
      </c>
      <c r="C644" t="s">
        <v>695</v>
      </c>
    </row>
    <row r="645" spans="1:3" ht="14.25" customHeight="1">
      <c r="A645" t="s">
        <v>580</v>
      </c>
      <c r="B645">
        <v>116</v>
      </c>
      <c r="C645" t="s">
        <v>696</v>
      </c>
    </row>
    <row r="646" spans="1:3" ht="14.25" customHeight="1">
      <c r="A646" t="s">
        <v>580</v>
      </c>
      <c r="B646">
        <v>117</v>
      </c>
      <c r="C646" t="s">
        <v>697</v>
      </c>
    </row>
    <row r="647" spans="1:3" ht="14.25" customHeight="1">
      <c r="A647" t="s">
        <v>580</v>
      </c>
      <c r="B647">
        <v>118</v>
      </c>
      <c r="C647" t="s">
        <v>698</v>
      </c>
    </row>
    <row r="648" spans="1:3" ht="14.25" customHeight="1">
      <c r="A648" t="s">
        <v>580</v>
      </c>
      <c r="B648">
        <v>119</v>
      </c>
      <c r="C648" t="s">
        <v>699</v>
      </c>
    </row>
    <row r="649" spans="1:3" ht="14.25" customHeight="1">
      <c r="A649" t="s">
        <v>700</v>
      </c>
      <c r="B649">
        <v>1</v>
      </c>
      <c r="C649" t="s">
        <v>701</v>
      </c>
    </row>
    <row r="650" spans="1:3" ht="14.25" customHeight="1">
      <c r="A650" t="s">
        <v>700</v>
      </c>
      <c r="B650">
        <v>2</v>
      </c>
      <c r="C650" t="s">
        <v>702</v>
      </c>
    </row>
    <row r="651" spans="1:3" ht="14.25" customHeight="1">
      <c r="A651" t="s">
        <v>700</v>
      </c>
      <c r="B651">
        <v>3</v>
      </c>
      <c r="C651" t="s">
        <v>703</v>
      </c>
    </row>
    <row r="652" spans="1:3" ht="14.25" customHeight="1">
      <c r="A652" t="s">
        <v>700</v>
      </c>
      <c r="B652">
        <v>4</v>
      </c>
      <c r="C652" t="s">
        <v>704</v>
      </c>
    </row>
    <row r="653" spans="1:3" ht="14.25" customHeight="1">
      <c r="A653" t="s">
        <v>700</v>
      </c>
      <c r="B653">
        <v>5</v>
      </c>
      <c r="C653" t="s">
        <v>705</v>
      </c>
    </row>
    <row r="654" spans="1:3" ht="14.25" customHeight="1">
      <c r="A654" t="s">
        <v>700</v>
      </c>
      <c r="B654">
        <v>6</v>
      </c>
      <c r="C654" t="s">
        <v>706</v>
      </c>
    </row>
    <row r="655" spans="1:3" ht="14.25" customHeight="1">
      <c r="A655" t="s">
        <v>700</v>
      </c>
      <c r="B655">
        <v>7</v>
      </c>
      <c r="C655" t="s">
        <v>707</v>
      </c>
    </row>
    <row r="656" spans="1:3" ht="14.25" customHeight="1">
      <c r="A656" t="s">
        <v>700</v>
      </c>
      <c r="B656">
        <v>8</v>
      </c>
      <c r="C656" t="s">
        <v>708</v>
      </c>
    </row>
    <row r="657" spans="1:3" ht="14.25" customHeight="1">
      <c r="A657" t="s">
        <v>709</v>
      </c>
      <c r="B657">
        <v>1</v>
      </c>
      <c r="C657" t="s">
        <v>710</v>
      </c>
    </row>
    <row r="658" spans="1:3" ht="14.25" customHeight="1">
      <c r="A658" t="s">
        <v>709</v>
      </c>
      <c r="B658">
        <v>2</v>
      </c>
      <c r="C658" t="s">
        <v>711</v>
      </c>
    </row>
    <row r="659" spans="1:3" ht="14.25" customHeight="1">
      <c r="A659" t="s">
        <v>709</v>
      </c>
      <c r="B659">
        <v>3</v>
      </c>
      <c r="C659" t="s">
        <v>712</v>
      </c>
    </row>
    <row r="660" spans="1:3" ht="14.25" customHeight="1">
      <c r="A660" t="s">
        <v>709</v>
      </c>
      <c r="B660">
        <v>4</v>
      </c>
      <c r="C660" t="s">
        <v>713</v>
      </c>
    </row>
    <row r="661" spans="1:3" ht="14.25" customHeight="1">
      <c r="A661" t="s">
        <v>709</v>
      </c>
      <c r="B661">
        <v>5</v>
      </c>
      <c r="C661" t="s">
        <v>714</v>
      </c>
    </row>
    <row r="662" spans="1:3" ht="14.25" customHeight="1">
      <c r="A662" t="s">
        <v>709</v>
      </c>
      <c r="B662">
        <v>6</v>
      </c>
      <c r="C662" t="s">
        <v>715</v>
      </c>
    </row>
    <row r="663" spans="1:3" ht="14.25" customHeight="1">
      <c r="A663" t="s">
        <v>709</v>
      </c>
      <c r="B663">
        <v>7</v>
      </c>
      <c r="C663" t="s">
        <v>716</v>
      </c>
    </row>
    <row r="664" spans="1:3" ht="14.25" customHeight="1">
      <c r="A664" t="s">
        <v>709</v>
      </c>
      <c r="B664">
        <v>8</v>
      </c>
      <c r="C664" t="s">
        <v>717</v>
      </c>
    </row>
    <row r="665" spans="1:3" ht="14.25" customHeight="1">
      <c r="A665" t="s">
        <v>709</v>
      </c>
      <c r="B665">
        <v>9</v>
      </c>
      <c r="C665" t="s">
        <v>718</v>
      </c>
    </row>
    <row r="666" spans="1:3" ht="14.25" customHeight="1">
      <c r="A666" t="s">
        <v>709</v>
      </c>
      <c r="B666">
        <v>10</v>
      </c>
      <c r="C666" t="s">
        <v>719</v>
      </c>
    </row>
    <row r="667" spans="1:3" ht="14.25" customHeight="1">
      <c r="A667" t="s">
        <v>709</v>
      </c>
      <c r="B667">
        <v>11</v>
      </c>
      <c r="C667" t="s">
        <v>720</v>
      </c>
    </row>
    <row r="668" spans="1:3" ht="14.25" customHeight="1">
      <c r="A668" t="s">
        <v>709</v>
      </c>
      <c r="B668">
        <v>12</v>
      </c>
      <c r="C668" t="s">
        <v>721</v>
      </c>
    </row>
    <row r="669" spans="1:3" ht="14.25" customHeight="1">
      <c r="A669" t="s">
        <v>709</v>
      </c>
      <c r="B669">
        <v>13</v>
      </c>
      <c r="C669" t="s">
        <v>722</v>
      </c>
    </row>
    <row r="670" spans="1:3" ht="14.25" customHeight="1">
      <c r="A670" t="s">
        <v>709</v>
      </c>
      <c r="B670">
        <v>14</v>
      </c>
      <c r="C670" t="s">
        <v>723</v>
      </c>
    </row>
    <row r="671" spans="1:3" ht="14.25" customHeight="1">
      <c r="A671" t="s">
        <v>709</v>
      </c>
      <c r="B671">
        <v>15</v>
      </c>
      <c r="C671" t="s">
        <v>724</v>
      </c>
    </row>
    <row r="672" spans="1:3" ht="14.25" customHeight="1">
      <c r="A672" t="s">
        <v>709</v>
      </c>
      <c r="B672">
        <v>16</v>
      </c>
      <c r="C672" t="s">
        <v>725</v>
      </c>
    </row>
    <row r="673" spans="1:3" ht="14.25" customHeight="1">
      <c r="A673" t="s">
        <v>709</v>
      </c>
      <c r="B673">
        <v>17</v>
      </c>
      <c r="C673" t="s">
        <v>726</v>
      </c>
    </row>
    <row r="674" spans="1:3" ht="14.25" customHeight="1">
      <c r="A674" t="s">
        <v>709</v>
      </c>
      <c r="B674">
        <v>18</v>
      </c>
      <c r="C674" t="s">
        <v>727</v>
      </c>
    </row>
    <row r="675" spans="1:3" ht="14.25" customHeight="1">
      <c r="A675" t="s">
        <v>709</v>
      </c>
      <c r="B675">
        <v>19</v>
      </c>
      <c r="C675" t="s">
        <v>728</v>
      </c>
    </row>
    <row r="676" spans="1:3" ht="14.25" customHeight="1">
      <c r="A676" t="s">
        <v>709</v>
      </c>
      <c r="B676">
        <v>20</v>
      </c>
      <c r="C676" t="s">
        <v>729</v>
      </c>
    </row>
    <row r="677" spans="1:3" ht="14.25" customHeight="1">
      <c r="A677" t="s">
        <v>709</v>
      </c>
      <c r="B677">
        <v>21</v>
      </c>
      <c r="C677" t="s">
        <v>730</v>
      </c>
    </row>
    <row r="678" spans="1:3" ht="14.25" customHeight="1">
      <c r="A678" t="s">
        <v>709</v>
      </c>
      <c r="B678">
        <v>22</v>
      </c>
      <c r="C678" t="s">
        <v>731</v>
      </c>
    </row>
    <row r="679" spans="1:3" ht="14.25" customHeight="1">
      <c r="A679" t="s">
        <v>732</v>
      </c>
      <c r="B679">
        <v>1</v>
      </c>
      <c r="C679" t="s">
        <v>733</v>
      </c>
    </row>
    <row r="680" spans="1:3" ht="14.25" customHeight="1">
      <c r="A680" t="s">
        <v>732</v>
      </c>
      <c r="B680">
        <v>2</v>
      </c>
      <c r="C680" t="s">
        <v>734</v>
      </c>
    </row>
    <row r="681" spans="1:3" ht="14.25" customHeight="1">
      <c r="A681" t="s">
        <v>732</v>
      </c>
      <c r="B681">
        <v>3</v>
      </c>
      <c r="C681" t="s">
        <v>735</v>
      </c>
    </row>
    <row r="682" spans="1:3" ht="14.25" customHeight="1">
      <c r="A682" t="s">
        <v>732</v>
      </c>
      <c r="B682">
        <v>4</v>
      </c>
      <c r="C682" t="s">
        <v>736</v>
      </c>
    </row>
    <row r="683" spans="1:3" ht="14.25" customHeight="1">
      <c r="A683" t="s">
        <v>732</v>
      </c>
      <c r="B683">
        <v>5</v>
      </c>
      <c r="C683" t="s">
        <v>737</v>
      </c>
    </row>
    <row r="684" spans="1:3" ht="14.25" customHeight="1">
      <c r="A684" t="s">
        <v>732</v>
      </c>
      <c r="B684">
        <v>6</v>
      </c>
      <c r="C684" t="s">
        <v>738</v>
      </c>
    </row>
    <row r="685" spans="1:3" ht="14.25" customHeight="1">
      <c r="A685" t="s">
        <v>732</v>
      </c>
      <c r="B685">
        <v>7</v>
      </c>
      <c r="C685" t="s">
        <v>739</v>
      </c>
    </row>
    <row r="686" spans="1:3" ht="14.25" customHeight="1">
      <c r="A686" t="s">
        <v>732</v>
      </c>
      <c r="B686">
        <v>8</v>
      </c>
      <c r="C686" t="s">
        <v>740</v>
      </c>
    </row>
    <row r="687" spans="1:3" ht="14.25" customHeight="1">
      <c r="A687" t="s">
        <v>732</v>
      </c>
      <c r="B687">
        <v>9</v>
      </c>
      <c r="C687" t="s">
        <v>741</v>
      </c>
    </row>
    <row r="688" spans="1:3" ht="14.25" customHeight="1">
      <c r="A688" t="s">
        <v>732</v>
      </c>
      <c r="B688">
        <v>10</v>
      </c>
      <c r="C688" t="s">
        <v>742</v>
      </c>
    </row>
    <row r="689" spans="1:3" ht="14.25" customHeight="1">
      <c r="A689" t="s">
        <v>732</v>
      </c>
      <c r="B689">
        <v>11</v>
      </c>
      <c r="C689" t="s">
        <v>743</v>
      </c>
    </row>
    <row r="690" spans="1:3" ht="14.25" customHeight="1">
      <c r="A690" t="s">
        <v>732</v>
      </c>
      <c r="B690">
        <v>12</v>
      </c>
      <c r="C690" t="s">
        <v>744</v>
      </c>
    </row>
    <row r="691" spans="1:3" ht="14.25" customHeight="1">
      <c r="A691" t="s">
        <v>732</v>
      </c>
      <c r="B691">
        <v>13</v>
      </c>
      <c r="C691" t="s">
        <v>745</v>
      </c>
    </row>
    <row r="692" spans="1:3" ht="14.25" customHeight="1">
      <c r="A692" t="s">
        <v>732</v>
      </c>
      <c r="B692">
        <v>14</v>
      </c>
      <c r="C692" t="s">
        <v>746</v>
      </c>
    </row>
    <row r="693" spans="1:3" ht="14.25" customHeight="1">
      <c r="A693" t="s">
        <v>732</v>
      </c>
      <c r="B693">
        <v>15</v>
      </c>
      <c r="C693" t="s">
        <v>747</v>
      </c>
    </row>
    <row r="694" spans="1:3" ht="14.25" customHeight="1">
      <c r="A694" t="s">
        <v>732</v>
      </c>
      <c r="B694">
        <v>16</v>
      </c>
      <c r="C694" t="s">
        <v>748</v>
      </c>
    </row>
    <row r="695" spans="1:3" ht="14.25" customHeight="1">
      <c r="A695" t="s">
        <v>732</v>
      </c>
      <c r="B695">
        <v>17</v>
      </c>
      <c r="C695" t="s">
        <v>749</v>
      </c>
    </row>
    <row r="696" spans="1:3" ht="14.25" customHeight="1">
      <c r="A696" t="s">
        <v>732</v>
      </c>
      <c r="B696">
        <v>18</v>
      </c>
      <c r="C696" t="s">
        <v>750</v>
      </c>
    </row>
    <row r="697" spans="1:3" ht="14.25" customHeight="1">
      <c r="A697" t="s">
        <v>732</v>
      </c>
      <c r="B697">
        <v>19</v>
      </c>
      <c r="C697" t="s">
        <v>751</v>
      </c>
    </row>
    <row r="698" spans="1:3" ht="14.25" customHeight="1">
      <c r="A698" t="s">
        <v>732</v>
      </c>
      <c r="B698">
        <v>20</v>
      </c>
      <c r="C698" t="s">
        <v>752</v>
      </c>
    </row>
    <row r="699" spans="1:3" ht="14.25" customHeight="1">
      <c r="A699" t="s">
        <v>732</v>
      </c>
      <c r="B699">
        <v>21</v>
      </c>
      <c r="C699" t="s">
        <v>753</v>
      </c>
    </row>
    <row r="700" spans="1:3" ht="14.25" customHeight="1">
      <c r="A700" t="s">
        <v>732</v>
      </c>
      <c r="B700">
        <v>22</v>
      </c>
      <c r="C700" t="s">
        <v>754</v>
      </c>
    </row>
    <row r="701" spans="1:3" ht="14.25" customHeight="1">
      <c r="A701" t="s">
        <v>732</v>
      </c>
      <c r="B701">
        <v>23</v>
      </c>
      <c r="C701" t="s">
        <v>755</v>
      </c>
    </row>
    <row r="702" spans="1:3" ht="14.25" customHeight="1">
      <c r="A702" t="s">
        <v>732</v>
      </c>
      <c r="B702">
        <v>24</v>
      </c>
      <c r="C702" t="s">
        <v>756</v>
      </c>
    </row>
    <row r="703" spans="1:3" ht="14.25" customHeight="1">
      <c r="A703" t="s">
        <v>732</v>
      </c>
      <c r="B703">
        <v>25</v>
      </c>
      <c r="C703" t="s">
        <v>757</v>
      </c>
    </row>
    <row r="704" spans="1:3" ht="14.25" customHeight="1">
      <c r="A704" t="s">
        <v>732</v>
      </c>
      <c r="B704">
        <v>26</v>
      </c>
      <c r="C704" t="s">
        <v>758</v>
      </c>
    </row>
    <row r="705" spans="1:3" ht="14.25" customHeight="1">
      <c r="A705" t="s">
        <v>732</v>
      </c>
      <c r="B705">
        <v>27</v>
      </c>
      <c r="C705" t="s">
        <v>759</v>
      </c>
    </row>
    <row r="706" spans="1:3" ht="14.25" customHeight="1">
      <c r="A706" t="s">
        <v>732</v>
      </c>
      <c r="B706">
        <v>28</v>
      </c>
      <c r="C706" t="s">
        <v>760</v>
      </c>
    </row>
    <row r="707" spans="1:3" ht="14.25" customHeight="1">
      <c r="A707" t="s">
        <v>732</v>
      </c>
      <c r="B707">
        <v>29</v>
      </c>
      <c r="C707" t="s">
        <v>761</v>
      </c>
    </row>
    <row r="708" spans="1:3" ht="14.25" customHeight="1">
      <c r="A708" t="s">
        <v>732</v>
      </c>
      <c r="B708">
        <v>30</v>
      </c>
      <c r="C708" t="s">
        <v>762</v>
      </c>
    </row>
    <row r="709" spans="1:3" ht="14.25" customHeight="1">
      <c r="A709" t="s">
        <v>732</v>
      </c>
      <c r="B709">
        <v>31</v>
      </c>
      <c r="C709" t="s">
        <v>763</v>
      </c>
    </row>
    <row r="710" spans="1:3" ht="14.25" customHeight="1">
      <c r="A710" t="s">
        <v>732</v>
      </c>
      <c r="B710">
        <v>32</v>
      </c>
      <c r="C710" t="s">
        <v>764</v>
      </c>
    </row>
    <row r="711" spans="1:3" ht="14.25" customHeight="1">
      <c r="A711" t="s">
        <v>732</v>
      </c>
      <c r="B711">
        <v>33</v>
      </c>
      <c r="C711" t="s">
        <v>765</v>
      </c>
    </row>
    <row r="712" spans="1:3" ht="14.25" customHeight="1">
      <c r="A712" t="s">
        <v>732</v>
      </c>
      <c r="B712">
        <v>34</v>
      </c>
      <c r="C712" t="s">
        <v>766</v>
      </c>
    </row>
    <row r="713" spans="1:3" ht="14.25" customHeight="1">
      <c r="A713" t="s">
        <v>732</v>
      </c>
      <c r="B713">
        <v>35</v>
      </c>
      <c r="C713" t="s">
        <v>767</v>
      </c>
    </row>
    <row r="714" spans="1:3" ht="14.25" customHeight="1">
      <c r="A714" t="s">
        <v>732</v>
      </c>
      <c r="B714">
        <v>36</v>
      </c>
      <c r="C714" t="s">
        <v>768</v>
      </c>
    </row>
    <row r="715" spans="1:3" ht="14.25" customHeight="1">
      <c r="A715" t="s">
        <v>732</v>
      </c>
      <c r="B715">
        <v>37</v>
      </c>
      <c r="C715" t="s">
        <v>769</v>
      </c>
    </row>
    <row r="716" spans="1:3" ht="14.25" customHeight="1">
      <c r="A716" t="s">
        <v>732</v>
      </c>
      <c r="B716">
        <v>38</v>
      </c>
      <c r="C716" t="s">
        <v>770</v>
      </c>
    </row>
    <row r="717" spans="1:3" ht="14.25" customHeight="1">
      <c r="A717" t="s">
        <v>732</v>
      </c>
      <c r="B717">
        <v>39</v>
      </c>
      <c r="C717" t="s">
        <v>771</v>
      </c>
    </row>
    <row r="718" spans="1:3" ht="14.25" customHeight="1">
      <c r="A718" t="s">
        <v>732</v>
      </c>
      <c r="B718">
        <v>40</v>
      </c>
      <c r="C718" t="s">
        <v>772</v>
      </c>
    </row>
    <row r="719" spans="1:3" ht="14.25" customHeight="1">
      <c r="A719" t="s">
        <v>732</v>
      </c>
      <c r="B719">
        <v>41</v>
      </c>
      <c r="C719" t="s">
        <v>773</v>
      </c>
    </row>
    <row r="720" spans="1:3" ht="14.25" customHeight="1">
      <c r="A720" t="s">
        <v>732</v>
      </c>
      <c r="B720">
        <v>42</v>
      </c>
      <c r="C720" t="s">
        <v>774</v>
      </c>
    </row>
    <row r="721" spans="1:3" ht="14.25" customHeight="1">
      <c r="A721" t="s">
        <v>732</v>
      </c>
      <c r="B721">
        <v>43</v>
      </c>
      <c r="C721" t="s">
        <v>775</v>
      </c>
    </row>
    <row r="722" spans="1:3" ht="14.25" customHeight="1">
      <c r="A722" t="s">
        <v>732</v>
      </c>
      <c r="B722">
        <v>44</v>
      </c>
      <c r="C722" t="s">
        <v>776</v>
      </c>
    </row>
    <row r="723" spans="1:3" ht="14.25" customHeight="1">
      <c r="A723" t="s">
        <v>732</v>
      </c>
      <c r="B723">
        <v>45</v>
      </c>
      <c r="C723" t="s">
        <v>777</v>
      </c>
    </row>
    <row r="724" spans="1:3" ht="14.25" customHeight="1">
      <c r="A724" t="s">
        <v>732</v>
      </c>
      <c r="B724">
        <v>46</v>
      </c>
      <c r="C724" t="s">
        <v>778</v>
      </c>
    </row>
    <row r="725" spans="1:3" ht="14.25" customHeight="1">
      <c r="A725" t="s">
        <v>732</v>
      </c>
      <c r="B725">
        <v>47</v>
      </c>
      <c r="C725" t="s">
        <v>779</v>
      </c>
    </row>
    <row r="726" spans="1:3" ht="14.25" customHeight="1">
      <c r="A726" t="s">
        <v>732</v>
      </c>
      <c r="B726">
        <v>48</v>
      </c>
      <c r="C726" t="s">
        <v>780</v>
      </c>
    </row>
    <row r="727" spans="1:3" ht="14.25" customHeight="1">
      <c r="A727" t="s">
        <v>732</v>
      </c>
      <c r="B727">
        <v>49</v>
      </c>
      <c r="C727" t="s">
        <v>781</v>
      </c>
    </row>
    <row r="728" spans="1:3" ht="14.25" customHeight="1">
      <c r="A728" t="s">
        <v>732</v>
      </c>
      <c r="B728">
        <v>50</v>
      </c>
      <c r="C728" t="s">
        <v>782</v>
      </c>
    </row>
    <row r="729" spans="1:3" ht="14.25" customHeight="1">
      <c r="A729" t="s">
        <v>732</v>
      </c>
      <c r="B729">
        <v>51</v>
      </c>
      <c r="C729" t="s">
        <v>783</v>
      </c>
    </row>
    <row r="730" spans="1:3" ht="14.25" customHeight="1">
      <c r="A730" t="s">
        <v>732</v>
      </c>
      <c r="B730">
        <v>52</v>
      </c>
      <c r="C730" t="s">
        <v>784</v>
      </c>
    </row>
    <row r="731" spans="1:3" ht="14.25" customHeight="1">
      <c r="A731" t="s">
        <v>732</v>
      </c>
      <c r="B731">
        <v>53</v>
      </c>
      <c r="C731" t="s">
        <v>785</v>
      </c>
    </row>
    <row r="732" spans="1:3" ht="14.25" customHeight="1">
      <c r="A732" t="s">
        <v>732</v>
      </c>
      <c r="B732">
        <v>54</v>
      </c>
      <c r="C732" t="s">
        <v>786</v>
      </c>
    </row>
    <row r="733" spans="1:3" ht="14.25" customHeight="1">
      <c r="A733" t="s">
        <v>732</v>
      </c>
      <c r="B733">
        <v>55</v>
      </c>
      <c r="C733" t="s">
        <v>787</v>
      </c>
    </row>
    <row r="734" spans="1:3" ht="14.25" customHeight="1">
      <c r="A734" t="s">
        <v>732</v>
      </c>
      <c r="B734">
        <v>56</v>
      </c>
      <c r="C734" t="s">
        <v>788</v>
      </c>
    </row>
    <row r="735" spans="1:3" ht="14.25" customHeight="1">
      <c r="A735" t="s">
        <v>732</v>
      </c>
      <c r="B735">
        <v>57</v>
      </c>
      <c r="C735" t="s">
        <v>789</v>
      </c>
    </row>
    <row r="736" spans="1:3" ht="14.25" customHeight="1">
      <c r="A736" t="s">
        <v>732</v>
      </c>
      <c r="B736">
        <v>58</v>
      </c>
      <c r="C736" t="s">
        <v>790</v>
      </c>
    </row>
    <row r="737" spans="1:3" ht="14.25" customHeight="1">
      <c r="A737" t="s">
        <v>732</v>
      </c>
      <c r="B737">
        <v>59</v>
      </c>
      <c r="C737" t="s">
        <v>791</v>
      </c>
    </row>
    <row r="738" spans="1:3" ht="14.25" customHeight="1">
      <c r="A738" t="s">
        <v>732</v>
      </c>
      <c r="B738">
        <v>60</v>
      </c>
      <c r="C738" t="s">
        <v>792</v>
      </c>
    </row>
    <row r="739" spans="1:3" ht="14.25" customHeight="1">
      <c r="A739" t="s">
        <v>732</v>
      </c>
      <c r="B739">
        <v>61</v>
      </c>
      <c r="C739" t="s">
        <v>793</v>
      </c>
    </row>
    <row r="740" spans="1:3" ht="14.25" customHeight="1">
      <c r="A740" t="s">
        <v>732</v>
      </c>
      <c r="B740">
        <v>62</v>
      </c>
      <c r="C740" t="s">
        <v>794</v>
      </c>
    </row>
    <row r="741" spans="1:3" ht="14.25" customHeight="1">
      <c r="A741" t="s">
        <v>732</v>
      </c>
      <c r="B741">
        <v>63</v>
      </c>
      <c r="C741" t="s">
        <v>795</v>
      </c>
    </row>
    <row r="742" spans="1:3" ht="14.25" customHeight="1">
      <c r="A742" t="s">
        <v>732</v>
      </c>
      <c r="B742">
        <v>64</v>
      </c>
      <c r="C742" t="s">
        <v>796</v>
      </c>
    </row>
    <row r="743" spans="1:3" ht="14.25" customHeight="1">
      <c r="A743" t="s">
        <v>732</v>
      </c>
      <c r="B743">
        <v>65</v>
      </c>
      <c r="C743" t="s">
        <v>797</v>
      </c>
    </row>
    <row r="744" spans="1:3" ht="14.25" customHeight="1">
      <c r="A744" t="s">
        <v>732</v>
      </c>
      <c r="B744">
        <v>66</v>
      </c>
      <c r="C744" t="s">
        <v>798</v>
      </c>
    </row>
    <row r="745" spans="1:3" ht="14.25" customHeight="1">
      <c r="A745" t="s">
        <v>732</v>
      </c>
      <c r="B745">
        <v>67</v>
      </c>
      <c r="C745" t="s">
        <v>799</v>
      </c>
    </row>
    <row r="746" spans="1:3" ht="14.25" customHeight="1">
      <c r="A746" t="s">
        <v>732</v>
      </c>
      <c r="B746">
        <v>68</v>
      </c>
      <c r="C746" t="s">
        <v>800</v>
      </c>
    </row>
    <row r="747" spans="1:3" ht="14.25" customHeight="1">
      <c r="A747" t="s">
        <v>732</v>
      </c>
      <c r="B747">
        <v>69</v>
      </c>
      <c r="C747" t="s">
        <v>801</v>
      </c>
    </row>
    <row r="748" spans="1:3" ht="14.25" customHeight="1">
      <c r="A748" t="s">
        <v>732</v>
      </c>
      <c r="B748">
        <v>70</v>
      </c>
      <c r="C748" t="s">
        <v>802</v>
      </c>
    </row>
    <row r="749" spans="1:3" ht="14.25" customHeight="1">
      <c r="A749" t="s">
        <v>732</v>
      </c>
      <c r="B749">
        <v>71</v>
      </c>
      <c r="C749" t="s">
        <v>803</v>
      </c>
    </row>
    <row r="750" spans="1:3" ht="14.25" customHeight="1">
      <c r="A750" t="s">
        <v>732</v>
      </c>
      <c r="B750">
        <v>72</v>
      </c>
      <c r="C750" t="s">
        <v>804</v>
      </c>
    </row>
    <row r="751" spans="1:3" ht="14.25" customHeight="1">
      <c r="A751" t="s">
        <v>732</v>
      </c>
      <c r="B751">
        <v>73</v>
      </c>
      <c r="C751" t="s">
        <v>805</v>
      </c>
    </row>
    <row r="752" spans="1:3" ht="14.25" customHeight="1">
      <c r="A752" t="s">
        <v>732</v>
      </c>
      <c r="B752">
        <v>74</v>
      </c>
      <c r="C752" t="s">
        <v>806</v>
      </c>
    </row>
    <row r="753" spans="1:3" ht="14.25" customHeight="1">
      <c r="A753" t="s">
        <v>732</v>
      </c>
      <c r="B753">
        <v>75</v>
      </c>
      <c r="C753" t="s">
        <v>807</v>
      </c>
    </row>
    <row r="754" spans="1:3" ht="14.25" customHeight="1">
      <c r="A754" t="s">
        <v>732</v>
      </c>
      <c r="B754">
        <v>76</v>
      </c>
      <c r="C754" t="s">
        <v>808</v>
      </c>
    </row>
    <row r="755" spans="1:3" ht="14.25" customHeight="1">
      <c r="A755" t="s">
        <v>732</v>
      </c>
      <c r="B755">
        <v>77</v>
      </c>
      <c r="C755" t="s">
        <v>809</v>
      </c>
    </row>
    <row r="756" spans="1:3" ht="14.25" customHeight="1">
      <c r="A756" t="s">
        <v>732</v>
      </c>
      <c r="B756">
        <v>78</v>
      </c>
      <c r="C756" t="s">
        <v>810</v>
      </c>
    </row>
    <row r="757" spans="1:3" ht="14.25" customHeight="1">
      <c r="A757" t="s">
        <v>732</v>
      </c>
      <c r="B757">
        <v>79</v>
      </c>
      <c r="C757" t="s">
        <v>811</v>
      </c>
    </row>
    <row r="758" spans="1:3" ht="14.25" customHeight="1">
      <c r="A758" t="s">
        <v>732</v>
      </c>
      <c r="B758">
        <v>80</v>
      </c>
      <c r="C758" t="s">
        <v>812</v>
      </c>
    </row>
    <row r="759" spans="1:3" ht="14.25" customHeight="1">
      <c r="A759" t="s">
        <v>732</v>
      </c>
      <c r="B759">
        <v>81</v>
      </c>
      <c r="C759" t="s">
        <v>813</v>
      </c>
    </row>
    <row r="760" spans="1:3" ht="14.25" customHeight="1">
      <c r="A760" t="s">
        <v>732</v>
      </c>
      <c r="B760">
        <v>82</v>
      </c>
      <c r="C760" t="s">
        <v>814</v>
      </c>
    </row>
    <row r="761" spans="1:3" ht="14.25" customHeight="1">
      <c r="A761" t="s">
        <v>732</v>
      </c>
      <c r="B761">
        <v>83</v>
      </c>
      <c r="C761" t="s">
        <v>815</v>
      </c>
    </row>
    <row r="762" spans="1:3" ht="14.25" customHeight="1">
      <c r="A762" t="s">
        <v>732</v>
      </c>
      <c r="B762">
        <v>84</v>
      </c>
      <c r="C762" t="s">
        <v>816</v>
      </c>
    </row>
    <row r="763" spans="1:3" ht="14.25" customHeight="1">
      <c r="A763" t="s">
        <v>732</v>
      </c>
      <c r="B763">
        <v>85</v>
      </c>
      <c r="C763" t="s">
        <v>817</v>
      </c>
    </row>
    <row r="764" spans="1:3" ht="14.25" customHeight="1">
      <c r="A764" t="s">
        <v>732</v>
      </c>
      <c r="B764">
        <v>86</v>
      </c>
      <c r="C764" t="s">
        <v>818</v>
      </c>
    </row>
    <row r="765" spans="1:3" ht="14.25" customHeight="1">
      <c r="A765" t="s">
        <v>732</v>
      </c>
      <c r="B765">
        <v>87</v>
      </c>
      <c r="C765" t="s">
        <v>819</v>
      </c>
    </row>
    <row r="766" spans="1:3" ht="14.25" customHeight="1">
      <c r="A766" t="s">
        <v>732</v>
      </c>
      <c r="B766">
        <v>88</v>
      </c>
      <c r="C766" t="s">
        <v>820</v>
      </c>
    </row>
    <row r="767" spans="1:3" ht="14.25" customHeight="1">
      <c r="A767" t="s">
        <v>732</v>
      </c>
      <c r="B767">
        <v>89</v>
      </c>
      <c r="C767" t="s">
        <v>821</v>
      </c>
    </row>
    <row r="768" spans="1:3" ht="14.25" customHeight="1">
      <c r="A768" t="s">
        <v>732</v>
      </c>
      <c r="B768">
        <v>90</v>
      </c>
      <c r="C768" t="s">
        <v>822</v>
      </c>
    </row>
    <row r="769" spans="1:3" ht="14.25" customHeight="1">
      <c r="A769" t="s">
        <v>732</v>
      </c>
      <c r="B769">
        <v>91</v>
      </c>
      <c r="C769" t="s">
        <v>823</v>
      </c>
    </row>
    <row r="770" spans="1:3" ht="14.25" customHeight="1">
      <c r="A770" t="s">
        <v>732</v>
      </c>
      <c r="B770">
        <v>92</v>
      </c>
      <c r="C770" t="s">
        <v>824</v>
      </c>
    </row>
    <row r="771" spans="1:3" ht="14.25" customHeight="1">
      <c r="A771" t="s">
        <v>732</v>
      </c>
      <c r="B771">
        <v>93</v>
      </c>
      <c r="C771" t="s">
        <v>825</v>
      </c>
    </row>
    <row r="772" spans="1:3" ht="14.25" customHeight="1">
      <c r="A772" t="s">
        <v>732</v>
      </c>
      <c r="B772">
        <v>94</v>
      </c>
      <c r="C772" t="s">
        <v>826</v>
      </c>
    </row>
    <row r="773" spans="1:3" ht="14.25" customHeight="1">
      <c r="A773" t="s">
        <v>732</v>
      </c>
      <c r="B773">
        <v>95</v>
      </c>
      <c r="C773" t="s">
        <v>827</v>
      </c>
    </row>
    <row r="774" spans="1:3" ht="14.25" customHeight="1">
      <c r="A774" t="s">
        <v>732</v>
      </c>
      <c r="B774">
        <v>96</v>
      </c>
      <c r="C774" t="s">
        <v>828</v>
      </c>
    </row>
    <row r="775" spans="1:3" ht="14.25" customHeight="1">
      <c r="A775" t="s">
        <v>732</v>
      </c>
      <c r="B775">
        <v>97</v>
      </c>
      <c r="C775" t="s">
        <v>829</v>
      </c>
    </row>
    <row r="776" spans="1:3" ht="14.25" customHeight="1">
      <c r="A776" t="s">
        <v>732</v>
      </c>
      <c r="B776">
        <v>98</v>
      </c>
      <c r="C776" t="s">
        <v>830</v>
      </c>
    </row>
    <row r="777" spans="1:3" ht="14.25" customHeight="1">
      <c r="A777" t="s">
        <v>732</v>
      </c>
      <c r="B777">
        <v>99</v>
      </c>
      <c r="C777" t="s">
        <v>831</v>
      </c>
    </row>
    <row r="778" spans="1:3" ht="14.25" customHeight="1">
      <c r="A778" t="s">
        <v>732</v>
      </c>
      <c r="B778">
        <v>100</v>
      </c>
      <c r="C778" t="s">
        <v>832</v>
      </c>
    </row>
    <row r="779" spans="1:3" ht="14.25" customHeight="1">
      <c r="A779" t="s">
        <v>732</v>
      </c>
      <c r="B779">
        <v>101</v>
      </c>
      <c r="C779" t="s">
        <v>833</v>
      </c>
    </row>
    <row r="780" spans="1:3" ht="14.25" customHeight="1">
      <c r="A780" t="s">
        <v>732</v>
      </c>
      <c r="B780">
        <v>102</v>
      </c>
      <c r="C780" t="s">
        <v>834</v>
      </c>
    </row>
    <row r="781" spans="1:3" ht="14.25" customHeight="1">
      <c r="A781" t="s">
        <v>732</v>
      </c>
      <c r="B781">
        <v>103</v>
      </c>
      <c r="C781" t="s">
        <v>835</v>
      </c>
    </row>
    <row r="782" spans="1:3" ht="14.25" customHeight="1">
      <c r="A782" t="s">
        <v>732</v>
      </c>
      <c r="B782">
        <v>104</v>
      </c>
      <c r="C782" t="s">
        <v>836</v>
      </c>
    </row>
    <row r="783" spans="1:3" ht="14.25" customHeight="1">
      <c r="A783" t="s">
        <v>732</v>
      </c>
      <c r="B783">
        <v>105</v>
      </c>
      <c r="C783" t="s">
        <v>837</v>
      </c>
    </row>
    <row r="784" spans="1:3" ht="14.25" customHeight="1">
      <c r="A784" t="s">
        <v>732</v>
      </c>
      <c r="B784">
        <v>106</v>
      </c>
      <c r="C784" t="s">
        <v>838</v>
      </c>
    </row>
    <row r="785" spans="1:3" ht="14.25" customHeight="1">
      <c r="A785" t="s">
        <v>732</v>
      </c>
      <c r="B785">
        <v>107</v>
      </c>
      <c r="C785" t="s">
        <v>839</v>
      </c>
    </row>
    <row r="786" spans="1:3" ht="14.25" customHeight="1">
      <c r="A786" t="s">
        <v>732</v>
      </c>
      <c r="B786">
        <v>108</v>
      </c>
      <c r="C786" t="s">
        <v>840</v>
      </c>
    </row>
    <row r="787" spans="1:3" ht="14.25" customHeight="1">
      <c r="A787" t="s">
        <v>732</v>
      </c>
      <c r="B787">
        <v>109</v>
      </c>
      <c r="C787" t="s">
        <v>841</v>
      </c>
    </row>
    <row r="788" spans="1:3" ht="14.25" customHeight="1">
      <c r="A788" t="s">
        <v>732</v>
      </c>
      <c r="B788">
        <v>110</v>
      </c>
      <c r="C788" t="s">
        <v>842</v>
      </c>
    </row>
    <row r="789" spans="1:3" ht="14.25" customHeight="1">
      <c r="A789" t="s">
        <v>732</v>
      </c>
      <c r="B789">
        <v>111</v>
      </c>
      <c r="C789" t="s">
        <v>843</v>
      </c>
    </row>
    <row r="790" spans="1:3" ht="14.25" customHeight="1">
      <c r="A790" t="s">
        <v>732</v>
      </c>
      <c r="B790">
        <v>112</v>
      </c>
      <c r="C790" t="s">
        <v>844</v>
      </c>
    </row>
    <row r="791" spans="1:3" ht="14.25" customHeight="1">
      <c r="A791" t="s">
        <v>732</v>
      </c>
      <c r="B791">
        <v>113</v>
      </c>
      <c r="C791" t="s">
        <v>845</v>
      </c>
    </row>
    <row r="792" spans="1:3" ht="14.25" customHeight="1">
      <c r="A792" t="s">
        <v>732</v>
      </c>
      <c r="B792">
        <v>114</v>
      </c>
      <c r="C792" t="s">
        <v>846</v>
      </c>
    </row>
    <row r="793" spans="1:3" ht="14.25" customHeight="1">
      <c r="A793" t="s">
        <v>732</v>
      </c>
      <c r="B793">
        <v>115</v>
      </c>
      <c r="C793" t="s">
        <v>847</v>
      </c>
    </row>
    <row r="794" spans="1:3" ht="14.25" customHeight="1">
      <c r="A794" t="s">
        <v>732</v>
      </c>
      <c r="B794">
        <v>116</v>
      </c>
      <c r="C794" t="s">
        <v>848</v>
      </c>
    </row>
    <row r="795" spans="1:3" ht="14.25" customHeight="1">
      <c r="A795" t="s">
        <v>849</v>
      </c>
      <c r="B795">
        <v>1</v>
      </c>
      <c r="C795" t="s">
        <v>850</v>
      </c>
    </row>
    <row r="796" spans="1:3" ht="14.25" customHeight="1">
      <c r="A796" t="s">
        <v>849</v>
      </c>
      <c r="B796">
        <v>2</v>
      </c>
      <c r="C796" t="s">
        <v>851</v>
      </c>
    </row>
    <row r="797" spans="1:3" ht="14.25" customHeight="1">
      <c r="A797" t="s">
        <v>849</v>
      </c>
      <c r="B797">
        <v>3</v>
      </c>
      <c r="C797" t="s">
        <v>852</v>
      </c>
    </row>
    <row r="798" spans="1:3" ht="14.25" customHeight="1">
      <c r="A798" t="s">
        <v>849</v>
      </c>
      <c r="B798">
        <v>4</v>
      </c>
      <c r="C798" t="s">
        <v>853</v>
      </c>
    </row>
    <row r="799" spans="1:3" ht="14.25" customHeight="1">
      <c r="A799" t="s">
        <v>849</v>
      </c>
      <c r="B799">
        <v>5</v>
      </c>
      <c r="C799" t="s">
        <v>854</v>
      </c>
    </row>
    <row r="800" spans="1:3" ht="14.25" customHeight="1">
      <c r="A800" t="s">
        <v>849</v>
      </c>
      <c r="B800">
        <v>6</v>
      </c>
      <c r="C800" t="s">
        <v>855</v>
      </c>
    </row>
    <row r="801" spans="1:3" ht="14.25" customHeight="1">
      <c r="A801" t="s">
        <v>849</v>
      </c>
      <c r="B801">
        <v>7</v>
      </c>
      <c r="C801" t="s">
        <v>856</v>
      </c>
    </row>
    <row r="802" spans="1:3" ht="14.25" customHeight="1">
      <c r="A802" t="s">
        <v>849</v>
      </c>
      <c r="B802">
        <v>8</v>
      </c>
      <c r="C802" t="s">
        <v>857</v>
      </c>
    </row>
    <row r="803" spans="1:3" ht="14.25" customHeight="1">
      <c r="A803" t="s">
        <v>849</v>
      </c>
      <c r="B803">
        <v>9</v>
      </c>
      <c r="C803" t="s">
        <v>858</v>
      </c>
    </row>
    <row r="804" spans="1:3" ht="14.25" customHeight="1">
      <c r="A804" t="s">
        <v>849</v>
      </c>
      <c r="B804">
        <v>10</v>
      </c>
      <c r="C804" t="s">
        <v>859</v>
      </c>
    </row>
    <row r="805" spans="1:3" ht="14.25" customHeight="1">
      <c r="A805" t="s">
        <v>849</v>
      </c>
      <c r="B805">
        <v>11</v>
      </c>
      <c r="C805" t="s">
        <v>860</v>
      </c>
    </row>
    <row r="806" spans="1:3" ht="14.25" customHeight="1">
      <c r="A806" t="s">
        <v>849</v>
      </c>
      <c r="B806">
        <v>12</v>
      </c>
      <c r="C806" t="s">
        <v>861</v>
      </c>
    </row>
    <row r="807" spans="1:3" ht="14.25" customHeight="1">
      <c r="A807" t="s">
        <v>849</v>
      </c>
      <c r="B807">
        <v>13</v>
      </c>
      <c r="C807" t="s">
        <v>862</v>
      </c>
    </row>
    <row r="808" spans="1:3" ht="14.25" customHeight="1">
      <c r="A808" t="s">
        <v>849</v>
      </c>
      <c r="B808">
        <v>14</v>
      </c>
      <c r="C808" t="s">
        <v>863</v>
      </c>
    </row>
    <row r="809" spans="1:3" ht="14.25" customHeight="1">
      <c r="A809" t="s">
        <v>849</v>
      </c>
      <c r="B809">
        <v>15</v>
      </c>
      <c r="C809" t="s">
        <v>864</v>
      </c>
    </row>
    <row r="810" spans="1:3" ht="14.25" customHeight="1">
      <c r="A810" t="s">
        <v>849</v>
      </c>
      <c r="B810">
        <v>16</v>
      </c>
      <c r="C810" t="s">
        <v>865</v>
      </c>
    </row>
    <row r="811" spans="1:3" ht="14.25" customHeight="1">
      <c r="A811" t="s">
        <v>849</v>
      </c>
      <c r="B811">
        <v>17</v>
      </c>
      <c r="C811" t="s">
        <v>866</v>
      </c>
    </row>
    <row r="812" spans="1:3" ht="14.25" customHeight="1">
      <c r="A812" t="s">
        <v>849</v>
      </c>
      <c r="B812">
        <v>18</v>
      </c>
      <c r="C812" t="s">
        <v>867</v>
      </c>
    </row>
    <row r="813" spans="1:3" ht="14.25" customHeight="1">
      <c r="A813" t="s">
        <v>849</v>
      </c>
      <c r="B813">
        <v>19</v>
      </c>
      <c r="C813" t="s">
        <v>868</v>
      </c>
    </row>
    <row r="814" spans="1:3" ht="14.25" customHeight="1">
      <c r="A814" t="s">
        <v>849</v>
      </c>
      <c r="B814">
        <v>20</v>
      </c>
      <c r="C814" t="s">
        <v>869</v>
      </c>
    </row>
    <row r="815" spans="1:3" ht="14.25" customHeight="1">
      <c r="A815" t="s">
        <v>849</v>
      </c>
      <c r="B815">
        <v>21</v>
      </c>
      <c r="C815" t="s">
        <v>870</v>
      </c>
    </row>
    <row r="816" spans="1:3" ht="14.25" customHeight="1">
      <c r="A816" t="s">
        <v>849</v>
      </c>
      <c r="B816">
        <v>22</v>
      </c>
      <c r="C816" t="s">
        <v>871</v>
      </c>
    </row>
    <row r="817" spans="1:3" ht="14.25" customHeight="1">
      <c r="A817" t="s">
        <v>849</v>
      </c>
      <c r="B817">
        <v>23</v>
      </c>
      <c r="C817" t="s">
        <v>872</v>
      </c>
    </row>
    <row r="818" spans="1:3" ht="14.25" customHeight="1">
      <c r="A818" t="s">
        <v>849</v>
      </c>
      <c r="B818">
        <v>24</v>
      </c>
      <c r="C818" t="s">
        <v>873</v>
      </c>
    </row>
    <row r="819" spans="1:3" ht="14.25" customHeight="1">
      <c r="A819" t="s">
        <v>849</v>
      </c>
      <c r="B819">
        <v>25</v>
      </c>
      <c r="C819" t="s">
        <v>874</v>
      </c>
    </row>
    <row r="820" spans="1:3" ht="14.25" customHeight="1">
      <c r="A820" t="s">
        <v>849</v>
      </c>
      <c r="B820">
        <v>26</v>
      </c>
      <c r="C820" t="s">
        <v>875</v>
      </c>
    </row>
    <row r="821" spans="1:3" ht="14.25" customHeight="1">
      <c r="A821" t="s">
        <v>849</v>
      </c>
      <c r="B821">
        <v>27</v>
      </c>
      <c r="C821" t="s">
        <v>876</v>
      </c>
    </row>
    <row r="822" spans="1:3" ht="14.25" customHeight="1">
      <c r="A822" t="s">
        <v>849</v>
      </c>
      <c r="B822">
        <v>28</v>
      </c>
      <c r="C822" t="s">
        <v>877</v>
      </c>
    </row>
    <row r="823" spans="1:3" ht="14.25" customHeight="1">
      <c r="A823" t="s">
        <v>849</v>
      </c>
      <c r="B823">
        <v>29</v>
      </c>
      <c r="C823" t="s">
        <v>878</v>
      </c>
    </row>
    <row r="824" spans="1:3" ht="14.25" customHeight="1">
      <c r="A824" t="s">
        <v>849</v>
      </c>
      <c r="B824">
        <v>30</v>
      </c>
      <c r="C824" t="s">
        <v>879</v>
      </c>
    </row>
    <row r="825" spans="1:3" ht="14.25" customHeight="1">
      <c r="A825" t="s">
        <v>849</v>
      </c>
      <c r="B825">
        <v>31</v>
      </c>
      <c r="C825" t="s">
        <v>880</v>
      </c>
    </row>
    <row r="826" spans="1:3" ht="14.25" customHeight="1">
      <c r="A826" t="s">
        <v>849</v>
      </c>
      <c r="B826">
        <v>32</v>
      </c>
      <c r="C826" t="s">
        <v>881</v>
      </c>
    </row>
    <row r="827" spans="1:3" ht="14.25" customHeight="1">
      <c r="A827" t="s">
        <v>849</v>
      </c>
      <c r="B827">
        <v>33</v>
      </c>
      <c r="C827" t="s">
        <v>882</v>
      </c>
    </row>
    <row r="828" spans="1:3" ht="14.25" customHeight="1">
      <c r="A828" t="s">
        <v>849</v>
      </c>
      <c r="B828">
        <v>34</v>
      </c>
      <c r="C828" t="s">
        <v>883</v>
      </c>
    </row>
    <row r="829" spans="1:3" ht="14.25" customHeight="1">
      <c r="A829" t="s">
        <v>849</v>
      </c>
      <c r="B829">
        <v>35</v>
      </c>
      <c r="C829" t="s">
        <v>884</v>
      </c>
    </row>
    <row r="830" spans="1:3" ht="14.25" customHeight="1">
      <c r="A830" t="s">
        <v>849</v>
      </c>
      <c r="B830">
        <v>36</v>
      </c>
      <c r="C830" t="s">
        <v>885</v>
      </c>
    </row>
    <row r="831" spans="1:3" ht="14.25" customHeight="1">
      <c r="A831" t="s">
        <v>849</v>
      </c>
      <c r="B831">
        <v>37</v>
      </c>
      <c r="C831" t="s">
        <v>886</v>
      </c>
    </row>
    <row r="832" spans="1:3" ht="14.25" customHeight="1">
      <c r="A832" t="s">
        <v>849</v>
      </c>
      <c r="B832">
        <v>38</v>
      </c>
      <c r="C832" t="s">
        <v>887</v>
      </c>
    </row>
    <row r="833" spans="1:3" ht="14.25" customHeight="1">
      <c r="A833" t="s">
        <v>849</v>
      </c>
      <c r="B833">
        <v>39</v>
      </c>
      <c r="C833" t="s">
        <v>888</v>
      </c>
    </row>
    <row r="834" spans="1:3" ht="14.25" customHeight="1">
      <c r="A834" t="s">
        <v>849</v>
      </c>
      <c r="B834">
        <v>40</v>
      </c>
      <c r="C834" t="s">
        <v>889</v>
      </c>
    </row>
    <row r="835" spans="1:3" ht="14.25" customHeight="1">
      <c r="A835" t="s">
        <v>849</v>
      </c>
      <c r="B835">
        <v>41</v>
      </c>
      <c r="C835" t="s">
        <v>890</v>
      </c>
    </row>
    <row r="836" spans="1:3" ht="14.25" customHeight="1">
      <c r="A836" t="s">
        <v>849</v>
      </c>
      <c r="B836">
        <v>42</v>
      </c>
      <c r="C836" t="s">
        <v>891</v>
      </c>
    </row>
    <row r="837" spans="1:3" ht="14.25" customHeight="1">
      <c r="A837" t="s">
        <v>849</v>
      </c>
      <c r="B837">
        <v>43</v>
      </c>
      <c r="C837" t="s">
        <v>892</v>
      </c>
    </row>
    <row r="838" spans="1:3" ht="14.25" customHeight="1">
      <c r="A838" t="s">
        <v>849</v>
      </c>
      <c r="B838">
        <v>44</v>
      </c>
      <c r="C838" t="s">
        <v>893</v>
      </c>
    </row>
    <row r="839" spans="1:3" ht="14.25" customHeight="1">
      <c r="A839" t="s">
        <v>849</v>
      </c>
      <c r="B839">
        <v>45</v>
      </c>
      <c r="C839" t="s">
        <v>894</v>
      </c>
    </row>
    <row r="840" spans="1:3" ht="14.25" customHeight="1">
      <c r="A840" t="s">
        <v>849</v>
      </c>
      <c r="B840">
        <v>46</v>
      </c>
      <c r="C840" t="s">
        <v>895</v>
      </c>
    </row>
    <row r="841" spans="1:3" ht="14.25" customHeight="1">
      <c r="A841" t="s">
        <v>849</v>
      </c>
      <c r="B841">
        <v>47</v>
      </c>
      <c r="C841" t="s">
        <v>896</v>
      </c>
    </row>
    <row r="842" spans="1:3" ht="14.25" customHeight="1">
      <c r="A842" t="s">
        <v>849</v>
      </c>
      <c r="B842">
        <v>48</v>
      </c>
      <c r="C842" t="s">
        <v>897</v>
      </c>
    </row>
    <row r="843" spans="1:3" ht="14.25" customHeight="1">
      <c r="A843" t="s">
        <v>849</v>
      </c>
      <c r="B843">
        <v>49</v>
      </c>
      <c r="C843" t="s">
        <v>898</v>
      </c>
    </row>
    <row r="844" spans="1:3" ht="14.25" customHeight="1">
      <c r="A844" t="s">
        <v>849</v>
      </c>
      <c r="B844">
        <v>50</v>
      </c>
      <c r="C844" t="s">
        <v>899</v>
      </c>
    </row>
    <row r="845" spans="1:3" ht="14.25" customHeight="1">
      <c r="A845" t="s">
        <v>849</v>
      </c>
      <c r="B845">
        <v>51</v>
      </c>
      <c r="C845" t="s">
        <v>900</v>
      </c>
    </row>
    <row r="846" spans="1:3" ht="14.25" customHeight="1">
      <c r="A846" t="s">
        <v>849</v>
      </c>
      <c r="B846">
        <v>52</v>
      </c>
      <c r="C846" t="s">
        <v>901</v>
      </c>
    </row>
    <row r="847" spans="1:3" ht="14.25" customHeight="1">
      <c r="A847" t="s">
        <v>849</v>
      </c>
      <c r="B847">
        <v>53</v>
      </c>
      <c r="C847" t="s">
        <v>902</v>
      </c>
    </row>
    <row r="848" spans="1:3" ht="14.25" customHeight="1">
      <c r="A848" t="s">
        <v>849</v>
      </c>
      <c r="B848">
        <v>54</v>
      </c>
      <c r="C848" t="s">
        <v>903</v>
      </c>
    </row>
    <row r="849" spans="1:3" ht="14.25" customHeight="1">
      <c r="A849" t="s">
        <v>849</v>
      </c>
      <c r="B849">
        <v>55</v>
      </c>
      <c r="C849" t="s">
        <v>904</v>
      </c>
    </row>
    <row r="850" spans="1:3" ht="14.25" customHeight="1">
      <c r="A850" t="s">
        <v>849</v>
      </c>
      <c r="B850">
        <v>56</v>
      </c>
      <c r="C850" t="s">
        <v>905</v>
      </c>
    </row>
    <row r="851" spans="1:3" ht="14.25" customHeight="1">
      <c r="A851" t="s">
        <v>849</v>
      </c>
      <c r="B851">
        <v>57</v>
      </c>
      <c r="C851" t="s">
        <v>906</v>
      </c>
    </row>
    <row r="852" spans="1:3" ht="14.25" customHeight="1">
      <c r="A852" t="s">
        <v>849</v>
      </c>
      <c r="B852">
        <v>58</v>
      </c>
      <c r="C852" t="s">
        <v>907</v>
      </c>
    </row>
    <row r="853" spans="1:3" ht="14.25" customHeight="1">
      <c r="A853" t="s">
        <v>849</v>
      </c>
      <c r="B853">
        <v>59</v>
      </c>
      <c r="C853" t="s">
        <v>908</v>
      </c>
    </row>
    <row r="854" spans="1:3" ht="14.25" customHeight="1">
      <c r="A854" t="s">
        <v>849</v>
      </c>
      <c r="B854">
        <v>60</v>
      </c>
      <c r="C854" t="s">
        <v>909</v>
      </c>
    </row>
    <row r="855" spans="1:3" ht="14.25" customHeight="1">
      <c r="A855" t="s">
        <v>849</v>
      </c>
      <c r="B855">
        <v>61</v>
      </c>
      <c r="C855" t="s">
        <v>910</v>
      </c>
    </row>
    <row r="856" spans="1:3" ht="14.25" customHeight="1">
      <c r="A856" t="s">
        <v>849</v>
      </c>
      <c r="B856">
        <v>62</v>
      </c>
      <c r="C856" t="s">
        <v>911</v>
      </c>
    </row>
    <row r="857" spans="1:3" ht="14.25" customHeight="1">
      <c r="A857" t="s">
        <v>849</v>
      </c>
      <c r="B857">
        <v>63</v>
      </c>
      <c r="C857" t="s">
        <v>912</v>
      </c>
    </row>
    <row r="858" spans="1:3" ht="14.25" customHeight="1">
      <c r="A858" t="s">
        <v>849</v>
      </c>
      <c r="B858">
        <v>64</v>
      </c>
      <c r="C858" t="s">
        <v>913</v>
      </c>
    </row>
    <row r="859" spans="1:3" ht="14.25" customHeight="1">
      <c r="A859" t="s">
        <v>849</v>
      </c>
      <c r="B859">
        <v>65</v>
      </c>
      <c r="C859" t="s">
        <v>914</v>
      </c>
    </row>
    <row r="860" spans="1:3" ht="14.25" customHeight="1">
      <c r="A860" t="s">
        <v>849</v>
      </c>
      <c r="B860">
        <v>66</v>
      </c>
      <c r="C860" t="s">
        <v>915</v>
      </c>
    </row>
    <row r="861" spans="1:3" ht="14.25" customHeight="1">
      <c r="A861" t="s">
        <v>849</v>
      </c>
      <c r="B861">
        <v>67</v>
      </c>
      <c r="C861" t="s">
        <v>916</v>
      </c>
    </row>
    <row r="862" spans="1:3" ht="14.25" customHeight="1">
      <c r="A862" t="s">
        <v>849</v>
      </c>
      <c r="B862">
        <v>68</v>
      </c>
      <c r="C862" t="s">
        <v>917</v>
      </c>
    </row>
    <row r="863" spans="1:3" ht="14.25" customHeight="1">
      <c r="A863" t="s">
        <v>849</v>
      </c>
      <c r="B863">
        <v>69</v>
      </c>
      <c r="C863" t="s">
        <v>918</v>
      </c>
    </row>
    <row r="864" spans="1:3" ht="14.25" customHeight="1">
      <c r="A864" t="s">
        <v>849</v>
      </c>
      <c r="B864">
        <v>70</v>
      </c>
      <c r="C864" t="s">
        <v>919</v>
      </c>
    </row>
    <row r="865" spans="1:3" ht="14.25" customHeight="1">
      <c r="A865" t="s">
        <v>849</v>
      </c>
      <c r="B865">
        <v>71</v>
      </c>
      <c r="C865" t="s">
        <v>920</v>
      </c>
    </row>
    <row r="866" spans="1:3" ht="14.25" customHeight="1">
      <c r="A866" t="s">
        <v>849</v>
      </c>
      <c r="B866">
        <v>72</v>
      </c>
      <c r="C866" t="s">
        <v>921</v>
      </c>
    </row>
    <row r="867" spans="1:3" ht="14.25" customHeight="1">
      <c r="A867" t="s">
        <v>849</v>
      </c>
      <c r="B867">
        <v>73</v>
      </c>
      <c r="C867" t="s">
        <v>922</v>
      </c>
    </row>
    <row r="868" spans="1:3" ht="14.25" customHeight="1">
      <c r="A868" t="s">
        <v>849</v>
      </c>
      <c r="B868">
        <v>74</v>
      </c>
      <c r="C868" t="s">
        <v>923</v>
      </c>
    </row>
    <row r="869" spans="1:3" ht="14.25" customHeight="1">
      <c r="A869" t="s">
        <v>849</v>
      </c>
      <c r="B869">
        <v>75</v>
      </c>
      <c r="C869" t="s">
        <v>924</v>
      </c>
    </row>
    <row r="870" spans="1:3" ht="14.25" customHeight="1">
      <c r="A870" t="s">
        <v>849</v>
      </c>
      <c r="B870">
        <v>76</v>
      </c>
      <c r="C870" t="s">
        <v>925</v>
      </c>
    </row>
    <row r="871" spans="1:3" ht="14.25" customHeight="1">
      <c r="A871" t="s">
        <v>849</v>
      </c>
      <c r="B871">
        <v>77</v>
      </c>
      <c r="C871" t="s">
        <v>926</v>
      </c>
    </row>
    <row r="872" spans="1:3" ht="14.25" customHeight="1">
      <c r="A872" t="s">
        <v>849</v>
      </c>
      <c r="B872">
        <v>78</v>
      </c>
      <c r="C872" t="s">
        <v>927</v>
      </c>
    </row>
    <row r="873" spans="1:3" ht="14.25" customHeight="1">
      <c r="A873" t="s">
        <v>849</v>
      </c>
      <c r="B873">
        <v>79</v>
      </c>
      <c r="C873" t="s">
        <v>928</v>
      </c>
    </row>
    <row r="874" spans="1:3" ht="14.25" customHeight="1">
      <c r="A874" t="s">
        <v>849</v>
      </c>
      <c r="B874">
        <v>80</v>
      </c>
      <c r="C874" t="s">
        <v>929</v>
      </c>
    </row>
    <row r="875" spans="1:3" ht="14.25" customHeight="1">
      <c r="A875" t="s">
        <v>849</v>
      </c>
      <c r="B875">
        <v>81</v>
      </c>
      <c r="C875" t="s">
        <v>930</v>
      </c>
    </row>
    <row r="876" spans="1:3" ht="14.25" customHeight="1">
      <c r="A876" t="s">
        <v>849</v>
      </c>
      <c r="B876">
        <v>82</v>
      </c>
      <c r="C876" t="s">
        <v>931</v>
      </c>
    </row>
    <row r="877" spans="1:3" ht="14.25" customHeight="1">
      <c r="A877" t="s">
        <v>849</v>
      </c>
      <c r="B877">
        <v>83</v>
      </c>
      <c r="C877" t="s">
        <v>932</v>
      </c>
    </row>
    <row r="878" spans="1:3" ht="14.25" customHeight="1">
      <c r="A878" t="s">
        <v>849</v>
      </c>
      <c r="B878">
        <v>84</v>
      </c>
      <c r="C878" t="s">
        <v>933</v>
      </c>
    </row>
    <row r="879" spans="1:3" ht="14.25" customHeight="1">
      <c r="A879" t="s">
        <v>849</v>
      </c>
      <c r="B879">
        <v>85</v>
      </c>
      <c r="C879" t="s">
        <v>934</v>
      </c>
    </row>
    <row r="880" spans="1:3" ht="14.25" customHeight="1">
      <c r="A880" t="s">
        <v>849</v>
      </c>
      <c r="B880">
        <v>86</v>
      </c>
      <c r="C880" t="s">
        <v>935</v>
      </c>
    </row>
    <row r="881" spans="1:3" ht="14.25" customHeight="1">
      <c r="A881" t="s">
        <v>849</v>
      </c>
      <c r="B881">
        <v>87</v>
      </c>
      <c r="C881" t="s">
        <v>936</v>
      </c>
    </row>
    <row r="882" spans="1:3" ht="14.25" customHeight="1">
      <c r="A882" t="s">
        <v>849</v>
      </c>
      <c r="B882">
        <v>88</v>
      </c>
      <c r="C882" t="s">
        <v>937</v>
      </c>
    </row>
    <row r="883" spans="1:3" ht="14.25" customHeight="1">
      <c r="A883" t="s">
        <v>849</v>
      </c>
      <c r="B883">
        <v>89</v>
      </c>
      <c r="C883" t="s">
        <v>938</v>
      </c>
    </row>
    <row r="884" spans="1:3" ht="14.25" customHeight="1">
      <c r="A884" t="s">
        <v>849</v>
      </c>
      <c r="B884">
        <v>90</v>
      </c>
      <c r="C884" t="s">
        <v>939</v>
      </c>
    </row>
    <row r="885" spans="1:3" ht="14.25" customHeight="1">
      <c r="A885" t="s">
        <v>849</v>
      </c>
      <c r="B885">
        <v>91</v>
      </c>
      <c r="C885" t="s">
        <v>940</v>
      </c>
    </row>
    <row r="886" spans="1:3" ht="14.25" customHeight="1">
      <c r="A886" t="s">
        <v>849</v>
      </c>
      <c r="B886">
        <v>92</v>
      </c>
      <c r="C886" t="s">
        <v>941</v>
      </c>
    </row>
    <row r="887" spans="1:3" ht="14.25" customHeight="1">
      <c r="A887" t="s">
        <v>849</v>
      </c>
      <c r="B887">
        <v>93</v>
      </c>
      <c r="C887" t="s">
        <v>942</v>
      </c>
    </row>
    <row r="888" spans="1:3" ht="14.25" customHeight="1">
      <c r="A888" t="s">
        <v>849</v>
      </c>
      <c r="B888">
        <v>94</v>
      </c>
      <c r="C888" t="s">
        <v>943</v>
      </c>
    </row>
    <row r="889" spans="1:3" ht="14.25" customHeight="1">
      <c r="A889" t="s">
        <v>849</v>
      </c>
      <c r="B889">
        <v>95</v>
      </c>
      <c r="C889" t="s">
        <v>944</v>
      </c>
    </row>
    <row r="890" spans="1:3" ht="14.25" customHeight="1">
      <c r="A890" t="s">
        <v>849</v>
      </c>
      <c r="B890">
        <v>96</v>
      </c>
      <c r="C890" t="s">
        <v>945</v>
      </c>
    </row>
    <row r="891" spans="1:3" ht="14.25" customHeight="1">
      <c r="A891" t="s">
        <v>849</v>
      </c>
      <c r="B891">
        <v>97</v>
      </c>
      <c r="C891" t="s">
        <v>946</v>
      </c>
    </row>
    <row r="892" spans="1:3" ht="14.25" customHeight="1">
      <c r="A892" t="s">
        <v>849</v>
      </c>
      <c r="B892">
        <v>98</v>
      </c>
      <c r="C892" t="s">
        <v>947</v>
      </c>
    </row>
    <row r="893" spans="1:3" ht="14.25" customHeight="1">
      <c r="A893" t="s">
        <v>849</v>
      </c>
      <c r="B893">
        <v>99</v>
      </c>
      <c r="C893" t="s">
        <v>948</v>
      </c>
    </row>
    <row r="894" spans="1:3" ht="14.25" customHeight="1">
      <c r="A894" t="s">
        <v>849</v>
      </c>
      <c r="B894">
        <v>100</v>
      </c>
      <c r="C894" t="s">
        <v>949</v>
      </c>
    </row>
    <row r="895" spans="1:3" ht="14.25" customHeight="1">
      <c r="A895" t="s">
        <v>849</v>
      </c>
      <c r="B895">
        <v>101</v>
      </c>
      <c r="C895" t="s">
        <v>950</v>
      </c>
    </row>
    <row r="896" spans="1:3" ht="14.25" customHeight="1">
      <c r="A896" t="s">
        <v>849</v>
      </c>
      <c r="B896">
        <v>102</v>
      </c>
      <c r="C896" t="s">
        <v>951</v>
      </c>
    </row>
    <row r="897" spans="1:3" ht="14.25" customHeight="1">
      <c r="A897" t="s">
        <v>849</v>
      </c>
      <c r="B897">
        <v>103</v>
      </c>
      <c r="C897" t="s">
        <v>952</v>
      </c>
    </row>
    <row r="898" spans="1:3" ht="14.25" customHeight="1">
      <c r="A898" t="s">
        <v>849</v>
      </c>
      <c r="B898">
        <v>104</v>
      </c>
      <c r="C898" t="s">
        <v>953</v>
      </c>
    </row>
    <row r="899" spans="1:3" ht="14.25" customHeight="1">
      <c r="A899" t="s">
        <v>849</v>
      </c>
      <c r="B899">
        <v>105</v>
      </c>
      <c r="C899" t="s">
        <v>954</v>
      </c>
    </row>
    <row r="900" spans="1:3" ht="14.25" customHeight="1">
      <c r="A900" t="s">
        <v>849</v>
      </c>
      <c r="B900">
        <v>106</v>
      </c>
      <c r="C900" t="s">
        <v>955</v>
      </c>
    </row>
    <row r="901" spans="1:3" ht="14.25" customHeight="1">
      <c r="A901" t="s">
        <v>849</v>
      </c>
      <c r="B901">
        <v>107</v>
      </c>
      <c r="C901" t="s">
        <v>956</v>
      </c>
    </row>
    <row r="902" spans="1:3" ht="14.25" customHeight="1">
      <c r="A902" t="s">
        <v>849</v>
      </c>
      <c r="B902">
        <v>108</v>
      </c>
      <c r="C902" t="s">
        <v>957</v>
      </c>
    </row>
    <row r="903" spans="1:3" ht="14.25" customHeight="1">
      <c r="A903" t="s">
        <v>849</v>
      </c>
      <c r="B903">
        <v>109</v>
      </c>
      <c r="C903" t="s">
        <v>958</v>
      </c>
    </row>
    <row r="904" spans="1:3" ht="14.25" customHeight="1">
      <c r="A904" t="s">
        <v>849</v>
      </c>
      <c r="B904">
        <v>110</v>
      </c>
      <c r="C904" t="s">
        <v>959</v>
      </c>
    </row>
    <row r="905" spans="1:3" ht="14.25" customHeight="1">
      <c r="A905" t="s">
        <v>849</v>
      </c>
      <c r="B905">
        <v>111</v>
      </c>
      <c r="C905" t="s">
        <v>960</v>
      </c>
    </row>
    <row r="906" spans="1:3" ht="14.25" customHeight="1">
      <c r="A906" t="s">
        <v>849</v>
      </c>
      <c r="B906">
        <v>112</v>
      </c>
      <c r="C906" t="s">
        <v>961</v>
      </c>
    </row>
    <row r="907" spans="1:3" ht="14.25" customHeight="1">
      <c r="A907" t="s">
        <v>849</v>
      </c>
      <c r="B907">
        <v>113</v>
      </c>
      <c r="C907" t="s">
        <v>962</v>
      </c>
    </row>
    <row r="908" spans="1:3" ht="14.25" customHeight="1">
      <c r="A908" t="s">
        <v>849</v>
      </c>
      <c r="B908">
        <v>114</v>
      </c>
      <c r="C908" t="s">
        <v>963</v>
      </c>
    </row>
    <row r="909" spans="1:3" ht="14.25" customHeight="1">
      <c r="A909" t="s">
        <v>849</v>
      </c>
      <c r="B909">
        <v>115</v>
      </c>
      <c r="C909" t="s">
        <v>964</v>
      </c>
    </row>
    <row r="910" spans="1:3" ht="14.25" customHeight="1">
      <c r="A910" t="s">
        <v>849</v>
      </c>
      <c r="B910">
        <v>116</v>
      </c>
      <c r="C910" t="s">
        <v>965</v>
      </c>
    </row>
    <row r="911" spans="1:3" ht="14.25" customHeight="1">
      <c r="A911" t="s">
        <v>849</v>
      </c>
      <c r="B911">
        <v>117</v>
      </c>
      <c r="C911" t="s">
        <v>966</v>
      </c>
    </row>
    <row r="912" spans="1:3" ht="14.25" customHeight="1">
      <c r="A912" t="s">
        <v>849</v>
      </c>
      <c r="B912">
        <v>118</v>
      </c>
      <c r="C912" t="s">
        <v>967</v>
      </c>
    </row>
    <row r="913" spans="1:3" ht="14.25" customHeight="1">
      <c r="A913" t="s">
        <v>849</v>
      </c>
      <c r="B913">
        <v>119</v>
      </c>
      <c r="C913" t="s">
        <v>968</v>
      </c>
    </row>
    <row r="914" spans="1:3" ht="14.25" customHeight="1">
      <c r="A914" t="s">
        <v>969</v>
      </c>
      <c r="B914">
        <v>1</v>
      </c>
      <c r="C914" t="s">
        <v>970</v>
      </c>
    </row>
    <row r="915" spans="1:3" ht="14.25" customHeight="1">
      <c r="A915" t="s">
        <v>969</v>
      </c>
      <c r="B915">
        <v>2</v>
      </c>
      <c r="C915" t="s">
        <v>971</v>
      </c>
    </row>
    <row r="916" spans="1:3" ht="14.25" customHeight="1">
      <c r="A916" t="s">
        <v>969</v>
      </c>
      <c r="B916">
        <v>3</v>
      </c>
      <c r="C916" t="s">
        <v>972</v>
      </c>
    </row>
    <row r="917" spans="1:3" ht="14.25" customHeight="1">
      <c r="A917" t="s">
        <v>969</v>
      </c>
      <c r="B917">
        <v>4</v>
      </c>
      <c r="C917" t="s">
        <v>973</v>
      </c>
    </row>
    <row r="918" spans="1:3" ht="14.25" customHeight="1">
      <c r="A918" t="s">
        <v>969</v>
      </c>
      <c r="B918">
        <v>5</v>
      </c>
      <c r="C918" t="s">
        <v>974</v>
      </c>
    </row>
    <row r="919" spans="1:3" ht="14.25" customHeight="1">
      <c r="A919" t="s">
        <v>969</v>
      </c>
      <c r="B919">
        <v>6</v>
      </c>
      <c r="C919" t="s">
        <v>975</v>
      </c>
    </row>
    <row r="920" spans="1:3" ht="14.25" customHeight="1">
      <c r="A920" t="s">
        <v>969</v>
      </c>
      <c r="B920">
        <v>7</v>
      </c>
      <c r="C920" t="s">
        <v>976</v>
      </c>
    </row>
    <row r="921" spans="1:3" ht="14.25" customHeight="1">
      <c r="A921" t="s">
        <v>969</v>
      </c>
      <c r="B921">
        <v>8</v>
      </c>
      <c r="C921" t="s">
        <v>977</v>
      </c>
    </row>
    <row r="922" spans="1:3" ht="14.25" customHeight="1">
      <c r="A922" t="s">
        <v>969</v>
      </c>
      <c r="B922">
        <v>9</v>
      </c>
      <c r="C922" t="s">
        <v>978</v>
      </c>
    </row>
    <row r="923" spans="1:3" ht="14.25" customHeight="1">
      <c r="A923" t="s">
        <v>969</v>
      </c>
      <c r="B923">
        <v>10</v>
      </c>
      <c r="C923" t="s">
        <v>979</v>
      </c>
    </row>
    <row r="924" spans="1:3" ht="14.25" customHeight="1">
      <c r="A924" t="s">
        <v>969</v>
      </c>
      <c r="B924">
        <v>11</v>
      </c>
      <c r="C924" t="s">
        <v>980</v>
      </c>
    </row>
    <row r="925" spans="1:3" ht="14.25" customHeight="1">
      <c r="A925" t="s">
        <v>969</v>
      </c>
      <c r="B925">
        <v>12</v>
      </c>
      <c r="C925" t="s">
        <v>981</v>
      </c>
    </row>
    <row r="926" spans="1:3" ht="14.25" customHeight="1">
      <c r="A926" t="s">
        <v>969</v>
      </c>
      <c r="B926">
        <v>13</v>
      </c>
      <c r="C926" t="s">
        <v>982</v>
      </c>
    </row>
    <row r="927" spans="1:3" ht="14.25" customHeight="1">
      <c r="A927" t="s">
        <v>969</v>
      </c>
      <c r="B927">
        <v>14</v>
      </c>
      <c r="C927" t="s">
        <v>983</v>
      </c>
    </row>
    <row r="928" spans="1:3" ht="14.25" customHeight="1">
      <c r="A928" t="s">
        <v>969</v>
      </c>
      <c r="B928">
        <v>15</v>
      </c>
      <c r="C928" t="s">
        <v>984</v>
      </c>
    </row>
    <row r="929" spans="1:3" ht="14.25" customHeight="1">
      <c r="A929" t="s">
        <v>969</v>
      </c>
      <c r="B929">
        <v>16</v>
      </c>
      <c r="C929" t="s">
        <v>985</v>
      </c>
    </row>
    <row r="930" spans="1:3" ht="14.25" customHeight="1">
      <c r="A930" t="s">
        <v>986</v>
      </c>
      <c r="B930">
        <v>1</v>
      </c>
      <c r="C930" t="s">
        <v>987</v>
      </c>
    </row>
    <row r="931" spans="1:3" ht="14.25" customHeight="1">
      <c r="A931" t="s">
        <v>986</v>
      </c>
      <c r="B931">
        <v>2</v>
      </c>
      <c r="C931" t="s">
        <v>988</v>
      </c>
    </row>
    <row r="932" spans="1:3" ht="14.25" customHeight="1">
      <c r="A932" t="s">
        <v>986</v>
      </c>
      <c r="B932">
        <v>3</v>
      </c>
      <c r="C932" t="s">
        <v>989</v>
      </c>
    </row>
    <row r="933" spans="1:3" ht="14.25" customHeight="1">
      <c r="A933" t="s">
        <v>986</v>
      </c>
      <c r="B933">
        <v>4</v>
      </c>
      <c r="C933" t="s">
        <v>990</v>
      </c>
    </row>
    <row r="934" spans="1:3" ht="14.25" customHeight="1">
      <c r="A934" t="s">
        <v>986</v>
      </c>
      <c r="B934">
        <v>5</v>
      </c>
      <c r="C934" t="s">
        <v>991</v>
      </c>
    </row>
    <row r="935" spans="1:3" ht="14.25" customHeight="1">
      <c r="A935" t="s">
        <v>986</v>
      </c>
      <c r="B935">
        <v>6</v>
      </c>
      <c r="C935" t="s">
        <v>992</v>
      </c>
    </row>
    <row r="936" spans="1:3" ht="14.25" customHeight="1">
      <c r="A936" t="s">
        <v>986</v>
      </c>
      <c r="B936">
        <v>7</v>
      </c>
      <c r="C936" t="s">
        <v>993</v>
      </c>
    </row>
    <row r="937" spans="1:3" ht="14.25" customHeight="1">
      <c r="A937" t="s">
        <v>986</v>
      </c>
      <c r="B937">
        <v>8</v>
      </c>
      <c r="C937" t="s">
        <v>994</v>
      </c>
    </row>
    <row r="938" spans="1:3" ht="14.25" customHeight="1">
      <c r="A938" t="s">
        <v>986</v>
      </c>
      <c r="B938">
        <v>9</v>
      </c>
      <c r="C938" t="s">
        <v>995</v>
      </c>
    </row>
    <row r="939" spans="1:3" ht="14.25" customHeight="1">
      <c r="A939" t="s">
        <v>986</v>
      </c>
      <c r="B939">
        <v>10</v>
      </c>
      <c r="C939" t="s">
        <v>996</v>
      </c>
    </row>
    <row r="940" spans="1:3" ht="14.25" customHeight="1">
      <c r="A940" t="s">
        <v>997</v>
      </c>
      <c r="B940">
        <v>1</v>
      </c>
      <c r="C940" t="s">
        <v>998</v>
      </c>
    </row>
    <row r="941" spans="1:3" ht="14.25" customHeight="1">
      <c r="A941" t="s">
        <v>997</v>
      </c>
      <c r="B941">
        <v>2</v>
      </c>
      <c r="C941" t="s">
        <v>999</v>
      </c>
    </row>
    <row r="942" spans="1:3" ht="14.25" customHeight="1">
      <c r="A942" t="s">
        <v>1000</v>
      </c>
      <c r="B942">
        <v>1</v>
      </c>
      <c r="C942" t="s">
        <v>1001</v>
      </c>
    </row>
    <row r="943" spans="1:3" ht="14.25" customHeight="1">
      <c r="A943" t="s">
        <v>1000</v>
      </c>
      <c r="B943">
        <v>2</v>
      </c>
      <c r="C943" t="s">
        <v>1002</v>
      </c>
    </row>
    <row r="944" spans="1:3" ht="14.25" customHeight="1">
      <c r="A944" t="s">
        <v>1000</v>
      </c>
      <c r="B944">
        <v>3</v>
      </c>
      <c r="C944" t="s">
        <v>1003</v>
      </c>
    </row>
    <row r="945" spans="1:3" ht="14.25" customHeight="1">
      <c r="A945" t="s">
        <v>1000</v>
      </c>
      <c r="B945">
        <v>4</v>
      </c>
      <c r="C945" t="s">
        <v>1004</v>
      </c>
    </row>
    <row r="946" spans="1:3" ht="14.25" customHeight="1">
      <c r="A946" t="s">
        <v>1000</v>
      </c>
      <c r="B946">
        <v>5</v>
      </c>
      <c r="C946" t="s">
        <v>1005</v>
      </c>
    </row>
    <row r="947" spans="1:3" ht="14.25" customHeight="1">
      <c r="A947" t="s">
        <v>1000</v>
      </c>
      <c r="B947">
        <v>6</v>
      </c>
      <c r="C947" t="s">
        <v>1006</v>
      </c>
    </row>
    <row r="948" spans="1:3" ht="14.25" customHeight="1">
      <c r="A948" t="s">
        <v>1000</v>
      </c>
      <c r="B948">
        <v>7</v>
      </c>
      <c r="C948" t="s">
        <v>1007</v>
      </c>
    </row>
    <row r="949" spans="1:3" ht="14.25" customHeight="1">
      <c r="A949" t="s">
        <v>1000</v>
      </c>
      <c r="B949">
        <v>8</v>
      </c>
      <c r="C949" t="s">
        <v>1008</v>
      </c>
    </row>
    <row r="950" spans="1:3" ht="14.25" customHeight="1">
      <c r="A950" t="s">
        <v>1009</v>
      </c>
      <c r="B950">
        <v>1</v>
      </c>
      <c r="C950" t="s">
        <v>1010</v>
      </c>
    </row>
    <row r="951" spans="1:3" ht="14.25" customHeight="1">
      <c r="A951" t="s">
        <v>1009</v>
      </c>
      <c r="B951">
        <v>2</v>
      </c>
      <c r="C951" t="s">
        <v>1011</v>
      </c>
    </row>
    <row r="952" spans="1:3" ht="14.25" customHeight="1">
      <c r="A952" t="s">
        <v>1009</v>
      </c>
      <c r="B952">
        <v>3</v>
      </c>
      <c r="C952" t="s">
        <v>1012</v>
      </c>
    </row>
    <row r="953" spans="1:3" ht="14.25" customHeight="1">
      <c r="A953" t="s">
        <v>1009</v>
      </c>
      <c r="B953">
        <v>4</v>
      </c>
      <c r="C953" t="s">
        <v>1013</v>
      </c>
    </row>
    <row r="954" spans="1:3" ht="14.25" customHeight="1">
      <c r="A954" t="s">
        <v>1009</v>
      </c>
      <c r="B954">
        <v>5</v>
      </c>
      <c r="C954" t="s">
        <v>1014</v>
      </c>
    </row>
    <row r="955" spans="1:3" ht="14.25" customHeight="1">
      <c r="A955" t="s">
        <v>1009</v>
      </c>
      <c r="B955">
        <v>6</v>
      </c>
      <c r="C955" t="s">
        <v>1015</v>
      </c>
    </row>
    <row r="956" spans="1:3" ht="14.25" customHeight="1">
      <c r="A956" t="s">
        <v>1009</v>
      </c>
      <c r="B956">
        <v>7</v>
      </c>
      <c r="C956" t="s">
        <v>1016</v>
      </c>
    </row>
    <row r="957" spans="1:3" ht="14.25" customHeight="1">
      <c r="A957" t="s">
        <v>1009</v>
      </c>
      <c r="B957">
        <v>8</v>
      </c>
      <c r="C957" t="s">
        <v>1017</v>
      </c>
    </row>
    <row r="958" spans="1:3" ht="14.25" customHeight="1">
      <c r="A958" t="s">
        <v>1009</v>
      </c>
      <c r="B958">
        <v>9</v>
      </c>
      <c r="C958" t="s">
        <v>1018</v>
      </c>
    </row>
    <row r="959" spans="1:3" ht="14.25" customHeight="1">
      <c r="A959" t="s">
        <v>1019</v>
      </c>
      <c r="B959">
        <v>1</v>
      </c>
      <c r="C959" t="s">
        <v>1020</v>
      </c>
    </row>
    <row r="960" spans="1:3" ht="14.25" customHeight="1">
      <c r="A960" t="s">
        <v>1019</v>
      </c>
      <c r="B960">
        <v>2</v>
      </c>
      <c r="C960" t="s">
        <v>1021</v>
      </c>
    </row>
    <row r="961" spans="1:3" ht="14.25" customHeight="1">
      <c r="A961" t="s">
        <v>1019</v>
      </c>
      <c r="B961">
        <v>3</v>
      </c>
      <c r="C961" t="s">
        <v>1022</v>
      </c>
    </row>
    <row r="962" spans="1:3" ht="14.25" customHeight="1">
      <c r="A962" t="s">
        <v>1019</v>
      </c>
      <c r="B962">
        <v>4</v>
      </c>
      <c r="C962" t="s">
        <v>1023</v>
      </c>
    </row>
    <row r="963" spans="1:3" ht="14.25" customHeight="1">
      <c r="A963" t="s">
        <v>1024</v>
      </c>
      <c r="B963">
        <v>1</v>
      </c>
      <c r="C963" t="s">
        <v>1025</v>
      </c>
    </row>
    <row r="964" spans="1:3" ht="14.25" customHeight="1">
      <c r="A964" t="s">
        <v>1024</v>
      </c>
      <c r="B964">
        <v>2</v>
      </c>
      <c r="C964" t="s">
        <v>1026</v>
      </c>
    </row>
    <row r="965" spans="1:3" ht="14.25" customHeight="1">
      <c r="A965" t="s">
        <v>1024</v>
      </c>
      <c r="B965">
        <v>3</v>
      </c>
      <c r="C965" t="s">
        <v>1027</v>
      </c>
    </row>
    <row r="966" spans="1:3" ht="14.25" customHeight="1">
      <c r="A966" t="s">
        <v>1024</v>
      </c>
      <c r="B966">
        <v>4</v>
      </c>
      <c r="C966" t="s">
        <v>1028</v>
      </c>
    </row>
    <row r="967" spans="1:3" ht="14.25" customHeight="1">
      <c r="A967" t="s">
        <v>1024</v>
      </c>
      <c r="B967">
        <v>5</v>
      </c>
      <c r="C967" t="s">
        <v>1029</v>
      </c>
    </row>
    <row r="968" spans="1:3" ht="14.25" customHeight="1">
      <c r="A968" t="s">
        <v>1024</v>
      </c>
      <c r="B968">
        <v>6</v>
      </c>
      <c r="C968" t="s">
        <v>1030</v>
      </c>
    </row>
    <row r="969" spans="1:3" ht="14.25" customHeight="1">
      <c r="A969" t="s">
        <v>1024</v>
      </c>
      <c r="B969">
        <v>7</v>
      </c>
      <c r="C969" t="s">
        <v>1031</v>
      </c>
    </row>
    <row r="970" spans="1:3" ht="14.25" customHeight="1">
      <c r="A970" t="s">
        <v>1024</v>
      </c>
      <c r="B970">
        <v>8</v>
      </c>
      <c r="C970" t="s">
        <v>1032</v>
      </c>
    </row>
    <row r="971" spans="1:3" ht="14.25" customHeight="1">
      <c r="A971" t="s">
        <v>1024</v>
      </c>
      <c r="B971">
        <v>9</v>
      </c>
      <c r="C971" t="s">
        <v>1033</v>
      </c>
    </row>
    <row r="972" spans="1:3" ht="14.25" customHeight="1">
      <c r="A972" t="s">
        <v>1024</v>
      </c>
      <c r="B972">
        <v>10</v>
      </c>
      <c r="C972" t="s">
        <v>1034</v>
      </c>
    </row>
    <row r="973" spans="1:3" ht="14.25" customHeight="1">
      <c r="A973" t="s">
        <v>1024</v>
      </c>
      <c r="B973">
        <v>11</v>
      </c>
      <c r="C973" t="s">
        <v>1035</v>
      </c>
    </row>
    <row r="974" spans="1:3" ht="14.25" customHeight="1">
      <c r="A974" t="s">
        <v>1024</v>
      </c>
      <c r="B974">
        <v>12</v>
      </c>
      <c r="C974" t="s">
        <v>1036</v>
      </c>
    </row>
    <row r="975" spans="1:3" ht="14.25" customHeight="1">
      <c r="A975" t="s">
        <v>1024</v>
      </c>
      <c r="B975">
        <v>13</v>
      </c>
      <c r="C975" t="s">
        <v>1037</v>
      </c>
    </row>
    <row r="976" spans="1:3" ht="14.25" customHeight="1">
      <c r="A976" t="s">
        <v>1024</v>
      </c>
      <c r="B976">
        <v>14</v>
      </c>
      <c r="C976" t="s">
        <v>1038</v>
      </c>
    </row>
    <row r="977" spans="1:3" ht="14.25" customHeight="1">
      <c r="A977" t="s">
        <v>1024</v>
      </c>
      <c r="B977">
        <v>15</v>
      </c>
      <c r="C977" t="s">
        <v>1039</v>
      </c>
    </row>
    <row r="978" spans="1:3" ht="14.25" customHeight="1">
      <c r="A978" t="s">
        <v>1024</v>
      </c>
      <c r="B978">
        <v>16</v>
      </c>
      <c r="C978" t="s">
        <v>1040</v>
      </c>
    </row>
    <row r="979" spans="1:3" ht="14.25" customHeight="1">
      <c r="A979" t="s">
        <v>1024</v>
      </c>
      <c r="B979">
        <v>17</v>
      </c>
      <c r="C979" t="s">
        <v>1041</v>
      </c>
    </row>
    <row r="980" spans="1:3" ht="14.25" customHeight="1">
      <c r="A980" t="s">
        <v>1024</v>
      </c>
      <c r="B980">
        <v>18</v>
      </c>
      <c r="C980" t="s">
        <v>1042</v>
      </c>
    </row>
    <row r="981" spans="1:3" ht="14.25" customHeight="1">
      <c r="A981" t="s">
        <v>1024</v>
      </c>
      <c r="B981">
        <v>19</v>
      </c>
      <c r="C981" t="s">
        <v>1043</v>
      </c>
    </row>
    <row r="982" spans="1:3" ht="14.25" customHeight="1">
      <c r="A982" t="s">
        <v>1024</v>
      </c>
      <c r="B982">
        <v>20</v>
      </c>
      <c r="C982" t="s">
        <v>1044</v>
      </c>
    </row>
    <row r="983" spans="1:3" ht="14.25" customHeight="1">
      <c r="A983" t="s">
        <v>1024</v>
      </c>
      <c r="B983">
        <v>21</v>
      </c>
      <c r="C983" t="s">
        <v>1045</v>
      </c>
    </row>
    <row r="984" spans="1:3" ht="14.25" customHeight="1">
      <c r="A984" t="s">
        <v>1024</v>
      </c>
      <c r="B984">
        <v>22</v>
      </c>
      <c r="C984" t="s">
        <v>1046</v>
      </c>
    </row>
    <row r="985" spans="1:3" ht="14.25" customHeight="1">
      <c r="A985" t="s">
        <v>1024</v>
      </c>
      <c r="B985">
        <v>23</v>
      </c>
      <c r="C985" t="s">
        <v>1047</v>
      </c>
    </row>
    <row r="986" spans="1:3" ht="14.25" customHeight="1">
      <c r="A986" t="s">
        <v>1024</v>
      </c>
      <c r="B986">
        <v>24</v>
      </c>
      <c r="C986" t="s">
        <v>1048</v>
      </c>
    </row>
    <row r="987" spans="1:3" ht="14.25" customHeight="1">
      <c r="A987" t="s">
        <v>1024</v>
      </c>
      <c r="B987">
        <v>25</v>
      </c>
      <c r="C987" t="s">
        <v>1049</v>
      </c>
    </row>
    <row r="988" spans="1:3" ht="14.25" customHeight="1">
      <c r="A988" t="s">
        <v>1024</v>
      </c>
      <c r="B988">
        <v>26</v>
      </c>
      <c r="C988" t="s">
        <v>1050</v>
      </c>
    </row>
    <row r="989" spans="1:3" ht="14.25" customHeight="1">
      <c r="A989" t="s">
        <v>1024</v>
      </c>
      <c r="B989">
        <v>27</v>
      </c>
      <c r="C989" t="s">
        <v>1051</v>
      </c>
    </row>
    <row r="990" spans="1:3" ht="14.25" customHeight="1">
      <c r="A990" t="s">
        <v>1024</v>
      </c>
      <c r="B990">
        <v>28</v>
      </c>
      <c r="C990" t="s">
        <v>1052</v>
      </c>
    </row>
    <row r="991" spans="1:3" ht="14.25" customHeight="1">
      <c r="A991" t="s">
        <v>1024</v>
      </c>
      <c r="B991">
        <v>29</v>
      </c>
      <c r="C991" t="s">
        <v>1053</v>
      </c>
    </row>
    <row r="992" spans="1:3" ht="14.25" customHeight="1">
      <c r="A992" t="s">
        <v>1024</v>
      </c>
      <c r="B992">
        <v>30</v>
      </c>
      <c r="C992" t="s">
        <v>1054</v>
      </c>
    </row>
    <row r="993" spans="1:3" ht="14.25" customHeight="1">
      <c r="A993" t="s">
        <v>1024</v>
      </c>
      <c r="B993">
        <v>31</v>
      </c>
      <c r="C993" t="s">
        <v>1055</v>
      </c>
    </row>
    <row r="994" spans="1:3" ht="14.25" customHeight="1">
      <c r="A994" t="s">
        <v>1024</v>
      </c>
      <c r="B994">
        <v>32</v>
      </c>
      <c r="C994" t="s">
        <v>1056</v>
      </c>
    </row>
    <row r="995" spans="1:3" ht="14.25" customHeight="1">
      <c r="A995" t="s">
        <v>1024</v>
      </c>
      <c r="B995">
        <v>33</v>
      </c>
      <c r="C995" t="s">
        <v>1057</v>
      </c>
    </row>
    <row r="996" spans="1:3" ht="14.25" customHeight="1">
      <c r="A996" t="s">
        <v>1024</v>
      </c>
      <c r="B996">
        <v>34</v>
      </c>
      <c r="C996" t="s">
        <v>1058</v>
      </c>
    </row>
    <row r="997" spans="1:3" ht="14.25" customHeight="1">
      <c r="A997" t="s">
        <v>1024</v>
      </c>
      <c r="B997">
        <v>35</v>
      </c>
      <c r="C997" t="s">
        <v>1059</v>
      </c>
    </row>
    <row r="998" spans="1:3" ht="14.25" customHeight="1">
      <c r="A998" t="s">
        <v>1024</v>
      </c>
      <c r="B998">
        <v>36</v>
      </c>
      <c r="C998" t="s">
        <v>1060</v>
      </c>
    </row>
    <row r="999" spans="1:3" ht="14.25" customHeight="1">
      <c r="A999" t="s">
        <v>1024</v>
      </c>
      <c r="B999">
        <v>37</v>
      </c>
      <c r="C999" t="s">
        <v>1061</v>
      </c>
    </row>
    <row r="1000" spans="1:3" ht="14.25" customHeight="1">
      <c r="A1000" t="s">
        <v>1024</v>
      </c>
      <c r="B1000">
        <v>38</v>
      </c>
      <c r="C1000" t="s">
        <v>1062</v>
      </c>
    </row>
    <row r="1001" spans="1:3" ht="14.25" customHeight="1">
      <c r="A1001" t="s">
        <v>1024</v>
      </c>
      <c r="B1001">
        <v>39</v>
      </c>
      <c r="C1001" t="s">
        <v>1063</v>
      </c>
    </row>
    <row r="1002" spans="1:3" ht="14.25" customHeight="1">
      <c r="A1002" t="s">
        <v>1024</v>
      </c>
      <c r="B1002">
        <v>40</v>
      </c>
      <c r="C1002" t="s">
        <v>1064</v>
      </c>
    </row>
    <row r="1003" spans="1:3" ht="14.25" customHeight="1">
      <c r="A1003" t="s">
        <v>1024</v>
      </c>
      <c r="B1003">
        <v>41</v>
      </c>
      <c r="C1003" t="s">
        <v>1065</v>
      </c>
    </row>
    <row r="1004" spans="1:3" ht="14.25" customHeight="1">
      <c r="A1004" t="s">
        <v>1024</v>
      </c>
      <c r="B1004">
        <v>42</v>
      </c>
      <c r="C1004" t="s">
        <v>1066</v>
      </c>
    </row>
    <row r="1005" spans="1:3" ht="14.25" customHeight="1">
      <c r="A1005" t="s">
        <v>1024</v>
      </c>
      <c r="B1005">
        <v>43</v>
      </c>
      <c r="C1005" t="s">
        <v>1067</v>
      </c>
    </row>
    <row r="1006" spans="1:3" ht="14.25" customHeight="1">
      <c r="A1006" t="s">
        <v>1024</v>
      </c>
      <c r="B1006">
        <v>44</v>
      </c>
      <c r="C1006" t="s">
        <v>1068</v>
      </c>
    </row>
    <row r="1007" spans="1:3" ht="14.25" customHeight="1">
      <c r="A1007" t="s">
        <v>1024</v>
      </c>
      <c r="B1007">
        <v>45</v>
      </c>
      <c r="C1007" t="s">
        <v>1069</v>
      </c>
    </row>
    <row r="1008" spans="1:3" ht="14.25" customHeight="1">
      <c r="A1008" t="s">
        <v>1024</v>
      </c>
      <c r="B1008">
        <v>46</v>
      </c>
      <c r="C1008" t="s">
        <v>1070</v>
      </c>
    </row>
    <row r="1009" spans="1:3" ht="14.25" customHeight="1">
      <c r="A1009" t="s">
        <v>1024</v>
      </c>
      <c r="B1009">
        <v>47</v>
      </c>
      <c r="C1009" t="s">
        <v>1071</v>
      </c>
    </row>
    <row r="1010" spans="1:3" ht="14.25" customHeight="1">
      <c r="A1010" t="s">
        <v>1024</v>
      </c>
      <c r="B1010">
        <v>48</v>
      </c>
      <c r="C1010" t="s">
        <v>1072</v>
      </c>
    </row>
    <row r="1011" spans="1:3" ht="14.25" customHeight="1">
      <c r="A1011" t="s">
        <v>1024</v>
      </c>
      <c r="B1011">
        <v>49</v>
      </c>
      <c r="C1011" t="s">
        <v>1073</v>
      </c>
    </row>
    <row r="1012" spans="1:3" ht="14.25" customHeight="1">
      <c r="A1012" t="s">
        <v>1024</v>
      </c>
      <c r="B1012">
        <v>50</v>
      </c>
      <c r="C1012" t="s">
        <v>1074</v>
      </c>
    </row>
    <row r="1013" spans="1:3" ht="14.25" customHeight="1">
      <c r="A1013" t="s">
        <v>1024</v>
      </c>
      <c r="B1013">
        <v>51</v>
      </c>
      <c r="C1013" t="s">
        <v>1075</v>
      </c>
    </row>
    <row r="1014" spans="1:3" ht="14.25" customHeight="1">
      <c r="A1014" t="s">
        <v>1024</v>
      </c>
      <c r="B1014">
        <v>52</v>
      </c>
      <c r="C1014" t="s">
        <v>1076</v>
      </c>
    </row>
    <row r="1015" spans="1:3" ht="14.25" customHeight="1">
      <c r="A1015" t="s">
        <v>1024</v>
      </c>
      <c r="B1015">
        <v>53</v>
      </c>
      <c r="C1015" t="s">
        <v>1077</v>
      </c>
    </row>
    <row r="1016" spans="1:3" ht="14.25" customHeight="1">
      <c r="A1016" t="s">
        <v>1024</v>
      </c>
      <c r="B1016">
        <v>54</v>
      </c>
      <c r="C1016" t="s">
        <v>1078</v>
      </c>
    </row>
    <row r="1017" spans="1:3" ht="14.25" customHeight="1">
      <c r="A1017" t="s">
        <v>1024</v>
      </c>
      <c r="B1017">
        <v>55</v>
      </c>
      <c r="C1017" t="s">
        <v>1079</v>
      </c>
    </row>
    <row r="1018" spans="1:3" ht="14.25" customHeight="1">
      <c r="A1018" t="s">
        <v>1024</v>
      </c>
      <c r="B1018">
        <v>56</v>
      </c>
      <c r="C1018" t="s">
        <v>1080</v>
      </c>
    </row>
    <row r="1019" spans="1:3" ht="14.25" customHeight="1">
      <c r="A1019" t="s">
        <v>1024</v>
      </c>
      <c r="B1019">
        <v>57</v>
      </c>
      <c r="C1019" t="s">
        <v>1081</v>
      </c>
    </row>
    <row r="1020" spans="1:3" ht="14.25" customHeight="1">
      <c r="A1020" t="s">
        <v>1024</v>
      </c>
      <c r="B1020">
        <v>58</v>
      </c>
      <c r="C1020" t="s">
        <v>1082</v>
      </c>
    </row>
    <row r="1021" spans="1:3" ht="14.25" customHeight="1">
      <c r="A1021" t="s">
        <v>1024</v>
      </c>
      <c r="B1021">
        <v>59</v>
      </c>
      <c r="C1021" t="s">
        <v>1083</v>
      </c>
    </row>
    <row r="1022" spans="1:3" ht="14.25" customHeight="1">
      <c r="A1022" t="s">
        <v>1024</v>
      </c>
      <c r="B1022">
        <v>60</v>
      </c>
      <c r="C1022" t="s">
        <v>1084</v>
      </c>
    </row>
    <row r="1023" spans="1:3" ht="14.25" customHeight="1">
      <c r="A1023" t="s">
        <v>1024</v>
      </c>
      <c r="B1023">
        <v>61</v>
      </c>
      <c r="C1023" t="s">
        <v>1085</v>
      </c>
    </row>
    <row r="1024" spans="1:3" ht="14.25" customHeight="1">
      <c r="A1024" t="s">
        <v>1024</v>
      </c>
      <c r="B1024">
        <v>62</v>
      </c>
      <c r="C1024" t="s">
        <v>1086</v>
      </c>
    </row>
    <row r="1025" spans="1:3" ht="14.25" customHeight="1">
      <c r="A1025" t="s">
        <v>1024</v>
      </c>
      <c r="B1025">
        <v>63</v>
      </c>
      <c r="C1025" t="s">
        <v>1087</v>
      </c>
    </row>
    <row r="1026" spans="1:3" ht="14.25" customHeight="1">
      <c r="A1026" t="s">
        <v>1024</v>
      </c>
      <c r="B1026">
        <v>64</v>
      </c>
      <c r="C1026" t="s">
        <v>1088</v>
      </c>
    </row>
    <row r="1027" spans="1:3" ht="14.25" customHeight="1">
      <c r="A1027" t="s">
        <v>1024</v>
      </c>
      <c r="B1027">
        <v>65</v>
      </c>
      <c r="C1027" t="s">
        <v>1089</v>
      </c>
    </row>
    <row r="1028" spans="1:3" ht="14.25" customHeight="1">
      <c r="A1028" t="s">
        <v>1024</v>
      </c>
      <c r="B1028">
        <v>66</v>
      </c>
      <c r="C1028" t="s">
        <v>1090</v>
      </c>
    </row>
    <row r="1029" spans="1:3" ht="14.25" customHeight="1">
      <c r="A1029" t="s">
        <v>1024</v>
      </c>
      <c r="B1029">
        <v>67</v>
      </c>
      <c r="C1029" t="s">
        <v>1091</v>
      </c>
    </row>
    <row r="1030" spans="1:3" ht="14.25" customHeight="1">
      <c r="A1030" t="s">
        <v>1024</v>
      </c>
      <c r="B1030">
        <v>68</v>
      </c>
      <c r="C1030" t="s">
        <v>1092</v>
      </c>
    </row>
    <row r="1031" spans="1:3" ht="14.25" customHeight="1">
      <c r="A1031" t="s">
        <v>1024</v>
      </c>
      <c r="B1031">
        <v>69</v>
      </c>
      <c r="C1031" t="s">
        <v>1093</v>
      </c>
    </row>
    <row r="1032" spans="1:3" ht="14.25" customHeight="1">
      <c r="A1032" t="s">
        <v>1024</v>
      </c>
      <c r="B1032">
        <v>70</v>
      </c>
      <c r="C1032" t="s">
        <v>1094</v>
      </c>
    </row>
    <row r="1033" spans="1:3" ht="14.25" customHeight="1">
      <c r="A1033" t="s">
        <v>1024</v>
      </c>
      <c r="B1033">
        <v>71</v>
      </c>
      <c r="C1033" t="s">
        <v>1095</v>
      </c>
    </row>
    <row r="1034" spans="1:3" ht="14.25" customHeight="1">
      <c r="A1034" t="s">
        <v>1024</v>
      </c>
      <c r="B1034">
        <v>72</v>
      </c>
      <c r="C1034" t="s">
        <v>1096</v>
      </c>
    </row>
    <row r="1035" spans="1:3" ht="14.25" customHeight="1">
      <c r="A1035" t="s">
        <v>1024</v>
      </c>
      <c r="B1035">
        <v>73</v>
      </c>
      <c r="C1035" t="s">
        <v>1097</v>
      </c>
    </row>
    <row r="1036" spans="1:3" ht="14.25" customHeight="1">
      <c r="A1036" t="s">
        <v>1024</v>
      </c>
      <c r="B1036">
        <v>74</v>
      </c>
      <c r="C1036" t="s">
        <v>1098</v>
      </c>
    </row>
    <row r="1037" spans="1:3" ht="14.25" customHeight="1">
      <c r="A1037" t="s">
        <v>1024</v>
      </c>
      <c r="B1037">
        <v>75</v>
      </c>
      <c r="C1037" t="s">
        <v>1099</v>
      </c>
    </row>
    <row r="1038" spans="1:3" ht="14.25" customHeight="1">
      <c r="A1038" t="s">
        <v>1024</v>
      </c>
      <c r="B1038">
        <v>76</v>
      </c>
      <c r="C1038" t="s">
        <v>1100</v>
      </c>
    </row>
    <row r="1039" spans="1:3" ht="14.25" customHeight="1">
      <c r="A1039" t="s">
        <v>1024</v>
      </c>
      <c r="B1039">
        <v>77</v>
      </c>
      <c r="C1039" t="s">
        <v>1101</v>
      </c>
    </row>
    <row r="1040" spans="1:3" ht="14.25" customHeight="1">
      <c r="A1040" t="s">
        <v>1024</v>
      </c>
      <c r="B1040">
        <v>78</v>
      </c>
      <c r="C1040" t="s">
        <v>1102</v>
      </c>
    </row>
    <row r="1041" spans="1:3" ht="14.25" customHeight="1">
      <c r="A1041" t="s">
        <v>1024</v>
      </c>
      <c r="B1041">
        <v>79</v>
      </c>
      <c r="C1041" t="s">
        <v>1103</v>
      </c>
    </row>
    <row r="1042" spans="1:3" ht="14.25" customHeight="1">
      <c r="A1042" t="s">
        <v>1024</v>
      </c>
      <c r="B1042">
        <v>80</v>
      </c>
      <c r="C1042" t="s">
        <v>1104</v>
      </c>
    </row>
    <row r="1043" spans="1:3" ht="14.25" customHeight="1">
      <c r="A1043" t="s">
        <v>1024</v>
      </c>
      <c r="B1043">
        <v>81</v>
      </c>
      <c r="C1043" t="s">
        <v>1105</v>
      </c>
    </row>
    <row r="1044" spans="1:3" ht="14.25" customHeight="1">
      <c r="A1044" t="s">
        <v>1024</v>
      </c>
      <c r="B1044">
        <v>82</v>
      </c>
      <c r="C1044" t="s">
        <v>1106</v>
      </c>
    </row>
    <row r="1045" spans="1:3" ht="14.25" customHeight="1">
      <c r="A1045" t="s">
        <v>1024</v>
      </c>
      <c r="B1045">
        <v>83</v>
      </c>
      <c r="C1045" t="s">
        <v>1107</v>
      </c>
    </row>
    <row r="1046" spans="1:3" ht="14.25" customHeight="1">
      <c r="A1046" t="s">
        <v>1024</v>
      </c>
      <c r="B1046">
        <v>84</v>
      </c>
      <c r="C1046" t="s">
        <v>1108</v>
      </c>
    </row>
    <row r="1047" spans="1:3" ht="14.25" customHeight="1">
      <c r="A1047" t="s">
        <v>1024</v>
      </c>
      <c r="B1047">
        <v>85</v>
      </c>
      <c r="C1047" t="s">
        <v>1109</v>
      </c>
    </row>
    <row r="1048" spans="1:3" ht="14.25" customHeight="1">
      <c r="A1048" t="s">
        <v>1024</v>
      </c>
      <c r="B1048">
        <v>86</v>
      </c>
      <c r="C1048" t="s">
        <v>1110</v>
      </c>
    </row>
    <row r="1049" spans="1:3" ht="14.25" customHeight="1">
      <c r="A1049" t="s">
        <v>1024</v>
      </c>
      <c r="B1049">
        <v>87</v>
      </c>
      <c r="C1049" t="s">
        <v>1111</v>
      </c>
    </row>
    <row r="1050" spans="1:3" ht="14.25" customHeight="1">
      <c r="A1050" t="s">
        <v>1024</v>
      </c>
      <c r="B1050">
        <v>88</v>
      </c>
      <c r="C1050" t="s">
        <v>1112</v>
      </c>
    </row>
    <row r="1051" spans="1:3" ht="14.25" customHeight="1">
      <c r="A1051" t="s">
        <v>1024</v>
      </c>
      <c r="B1051">
        <v>89</v>
      </c>
      <c r="C1051" t="s">
        <v>1113</v>
      </c>
    </row>
    <row r="1052" spans="1:3" ht="14.25" customHeight="1">
      <c r="A1052" t="s">
        <v>1024</v>
      </c>
      <c r="B1052">
        <v>90</v>
      </c>
      <c r="C1052" t="s">
        <v>1114</v>
      </c>
    </row>
    <row r="1053" spans="1:3" ht="14.25" customHeight="1">
      <c r="A1053" t="s">
        <v>1024</v>
      </c>
      <c r="B1053">
        <v>91</v>
      </c>
      <c r="C1053" t="s">
        <v>1115</v>
      </c>
    </row>
    <row r="1054" spans="1:3" ht="14.25" customHeight="1">
      <c r="A1054" t="s">
        <v>1024</v>
      </c>
      <c r="B1054">
        <v>92</v>
      </c>
      <c r="C1054" t="s">
        <v>1116</v>
      </c>
    </row>
    <row r="1055" spans="1:3" ht="14.25" customHeight="1">
      <c r="A1055" t="s">
        <v>1024</v>
      </c>
      <c r="B1055">
        <v>93</v>
      </c>
      <c r="C1055" t="s">
        <v>1117</v>
      </c>
    </row>
    <row r="1056" spans="1:3" ht="14.25" customHeight="1">
      <c r="A1056" t="s">
        <v>1024</v>
      </c>
      <c r="B1056">
        <v>94</v>
      </c>
      <c r="C1056" t="s">
        <v>1118</v>
      </c>
    </row>
    <row r="1057" spans="1:3" ht="14.25" customHeight="1">
      <c r="A1057" t="s">
        <v>1024</v>
      </c>
      <c r="B1057">
        <v>95</v>
      </c>
      <c r="C1057" t="s">
        <v>1119</v>
      </c>
    </row>
    <row r="1058" spans="1:3" ht="14.25" customHeight="1">
      <c r="A1058" t="s">
        <v>1024</v>
      </c>
      <c r="B1058">
        <v>96</v>
      </c>
      <c r="C1058" t="s">
        <v>1120</v>
      </c>
    </row>
    <row r="1059" spans="1:3" ht="14.25" customHeight="1">
      <c r="A1059" t="s">
        <v>1024</v>
      </c>
      <c r="B1059">
        <v>97</v>
      </c>
      <c r="C1059" t="s">
        <v>1121</v>
      </c>
    </row>
    <row r="1060" spans="1:3" ht="14.25" customHeight="1">
      <c r="A1060" t="s">
        <v>1024</v>
      </c>
      <c r="B1060">
        <v>98</v>
      </c>
      <c r="C1060" t="s">
        <v>1122</v>
      </c>
    </row>
    <row r="1061" spans="1:3" ht="14.25" customHeight="1">
      <c r="A1061" t="s">
        <v>1024</v>
      </c>
      <c r="B1061">
        <v>99</v>
      </c>
      <c r="C1061" t="s">
        <v>1123</v>
      </c>
    </row>
    <row r="1062" spans="1:3" ht="14.25" customHeight="1">
      <c r="A1062" t="s">
        <v>1024</v>
      </c>
      <c r="B1062">
        <v>100</v>
      </c>
      <c r="C1062" t="s">
        <v>1124</v>
      </c>
    </row>
    <row r="1063" spans="1:3" ht="14.25" customHeight="1">
      <c r="A1063" t="s">
        <v>1024</v>
      </c>
      <c r="B1063">
        <v>101</v>
      </c>
      <c r="C1063" t="s">
        <v>1125</v>
      </c>
    </row>
    <row r="1064" spans="1:3" ht="14.25" customHeight="1">
      <c r="A1064" t="s">
        <v>1024</v>
      </c>
      <c r="B1064">
        <v>102</v>
      </c>
      <c r="C1064" t="s">
        <v>1126</v>
      </c>
    </row>
    <row r="1065" spans="1:3" ht="14.25" customHeight="1">
      <c r="A1065" t="s">
        <v>1024</v>
      </c>
      <c r="B1065">
        <v>103</v>
      </c>
      <c r="C1065" t="s">
        <v>1127</v>
      </c>
    </row>
    <row r="1066" spans="1:3" ht="14.25" customHeight="1">
      <c r="A1066" t="s">
        <v>1024</v>
      </c>
      <c r="B1066">
        <v>104</v>
      </c>
      <c r="C1066" t="s">
        <v>1128</v>
      </c>
    </row>
    <row r="1067" spans="1:3" ht="14.25" customHeight="1">
      <c r="A1067" t="s">
        <v>1024</v>
      </c>
      <c r="B1067">
        <v>105</v>
      </c>
      <c r="C1067" t="s">
        <v>1129</v>
      </c>
    </row>
    <row r="1068" spans="1:3" ht="14.25" customHeight="1">
      <c r="A1068" t="s">
        <v>1024</v>
      </c>
      <c r="B1068">
        <v>106</v>
      </c>
      <c r="C1068" t="s">
        <v>1130</v>
      </c>
    </row>
    <row r="1069" spans="1:3" ht="14.25" customHeight="1">
      <c r="A1069" t="s">
        <v>1024</v>
      </c>
      <c r="B1069">
        <v>107</v>
      </c>
      <c r="C1069" t="s">
        <v>1131</v>
      </c>
    </row>
    <row r="1070" spans="1:3" ht="14.25" customHeight="1">
      <c r="A1070" t="s">
        <v>1024</v>
      </c>
      <c r="B1070">
        <v>108</v>
      </c>
      <c r="C1070" t="s">
        <v>1132</v>
      </c>
    </row>
    <row r="1071" spans="1:3" ht="14.25" customHeight="1">
      <c r="A1071" t="s">
        <v>1024</v>
      </c>
      <c r="B1071">
        <v>109</v>
      </c>
      <c r="C1071" t="s">
        <v>1133</v>
      </c>
    </row>
    <row r="1072" spans="1:3" ht="14.25" customHeight="1">
      <c r="A1072" t="s">
        <v>1024</v>
      </c>
      <c r="B1072">
        <v>110</v>
      </c>
      <c r="C1072" t="s">
        <v>1134</v>
      </c>
    </row>
    <row r="1073" spans="1:3" ht="14.25" customHeight="1">
      <c r="A1073" t="s">
        <v>1024</v>
      </c>
      <c r="B1073">
        <v>111</v>
      </c>
      <c r="C1073" t="s">
        <v>1135</v>
      </c>
    </row>
    <row r="1074" spans="1:3" ht="14.25" customHeight="1">
      <c r="A1074" t="s">
        <v>1024</v>
      </c>
      <c r="B1074">
        <v>112</v>
      </c>
      <c r="C1074" t="s">
        <v>1136</v>
      </c>
    </row>
    <row r="1075" spans="1:3" ht="14.25" customHeight="1">
      <c r="A1075" t="s">
        <v>1024</v>
      </c>
      <c r="B1075">
        <v>113</v>
      </c>
      <c r="C1075" t="s">
        <v>1137</v>
      </c>
    </row>
    <row r="1076" spans="1:3" ht="14.25" customHeight="1">
      <c r="A1076" t="s">
        <v>1024</v>
      </c>
      <c r="B1076">
        <v>114</v>
      </c>
      <c r="C1076" t="s">
        <v>1138</v>
      </c>
    </row>
    <row r="1077" spans="1:3" ht="14.25" customHeight="1">
      <c r="A1077" t="s">
        <v>1024</v>
      </c>
      <c r="B1077">
        <v>115</v>
      </c>
      <c r="C1077" t="s">
        <v>1139</v>
      </c>
    </row>
    <row r="1078" spans="1:3" ht="14.25" customHeight="1">
      <c r="A1078" t="s">
        <v>1024</v>
      </c>
      <c r="B1078">
        <v>116</v>
      </c>
      <c r="C1078" t="s">
        <v>1140</v>
      </c>
    </row>
    <row r="1079" spans="1:3" ht="14.25" customHeight="1">
      <c r="A1079" t="s">
        <v>1024</v>
      </c>
      <c r="B1079">
        <v>117</v>
      </c>
      <c r="C1079" t="s">
        <v>1141</v>
      </c>
    </row>
    <row r="1080" spans="1:3" ht="14.25" customHeight="1">
      <c r="A1080" t="s">
        <v>1024</v>
      </c>
      <c r="B1080">
        <v>118</v>
      </c>
      <c r="C1080" t="s">
        <v>1142</v>
      </c>
    </row>
    <row r="1081" spans="1:3" ht="14.25" customHeight="1">
      <c r="A1081" t="s">
        <v>1024</v>
      </c>
      <c r="B1081">
        <v>119</v>
      </c>
      <c r="C1081" t="s">
        <v>1143</v>
      </c>
    </row>
    <row r="1082" spans="1:3" ht="14.25" customHeight="1">
      <c r="A1082" t="s">
        <v>1024</v>
      </c>
      <c r="B1082">
        <v>120</v>
      </c>
      <c r="C1082" t="s">
        <v>1144</v>
      </c>
    </row>
    <row r="1083" spans="1:3" ht="14.25" customHeight="1">
      <c r="A1083" t="s">
        <v>1145</v>
      </c>
      <c r="B1083">
        <v>1</v>
      </c>
      <c r="C1083" t="s">
        <v>1146</v>
      </c>
    </row>
    <row r="1084" spans="1:3" ht="14.25" customHeight="1">
      <c r="A1084" t="s">
        <v>1145</v>
      </c>
      <c r="B1084">
        <v>2</v>
      </c>
      <c r="C1084" t="s">
        <v>1147</v>
      </c>
    </row>
    <row r="1085" spans="1:3" ht="14.25" customHeight="1">
      <c r="A1085" t="s">
        <v>1145</v>
      </c>
      <c r="B1085">
        <v>3</v>
      </c>
      <c r="C1085" t="s">
        <v>1148</v>
      </c>
    </row>
    <row r="1086" spans="1:3" ht="14.25" customHeight="1">
      <c r="A1086" t="s">
        <v>1145</v>
      </c>
      <c r="B1086">
        <v>4</v>
      </c>
      <c r="C1086" t="s">
        <v>1149</v>
      </c>
    </row>
    <row r="1087" spans="1:3" ht="14.25" customHeight="1">
      <c r="A1087" t="s">
        <v>1145</v>
      </c>
      <c r="B1087">
        <v>5</v>
      </c>
      <c r="C1087" t="s">
        <v>1150</v>
      </c>
    </row>
    <row r="1088" spans="1:3" ht="14.25" customHeight="1">
      <c r="A1088" t="s">
        <v>1145</v>
      </c>
      <c r="B1088">
        <v>6</v>
      </c>
      <c r="C1088" t="s">
        <v>1151</v>
      </c>
    </row>
    <row r="1089" spans="1:3" ht="14.25" customHeight="1">
      <c r="A1089" t="s">
        <v>1145</v>
      </c>
      <c r="B1089">
        <v>7</v>
      </c>
      <c r="C1089" t="s">
        <v>1152</v>
      </c>
    </row>
    <row r="1090" spans="1:3" ht="14.25" customHeight="1">
      <c r="A1090" t="s">
        <v>1145</v>
      </c>
      <c r="B1090">
        <v>8</v>
      </c>
      <c r="C1090" t="s">
        <v>1153</v>
      </c>
    </row>
    <row r="1091" spans="1:3" ht="14.25" customHeight="1">
      <c r="A1091" t="s">
        <v>1145</v>
      </c>
      <c r="B1091">
        <v>9</v>
      </c>
      <c r="C1091" t="s">
        <v>1154</v>
      </c>
    </row>
    <row r="1092" spans="1:3" ht="14.25" customHeight="1">
      <c r="A1092" t="s">
        <v>1145</v>
      </c>
      <c r="B1092">
        <v>10</v>
      </c>
      <c r="C1092" t="s">
        <v>1155</v>
      </c>
    </row>
    <row r="1093" spans="1:3" ht="14.25" customHeight="1">
      <c r="A1093" t="s">
        <v>1145</v>
      </c>
      <c r="B1093">
        <v>11</v>
      </c>
      <c r="C1093" t="s">
        <v>1156</v>
      </c>
    </row>
    <row r="1094" spans="1:3" ht="14.25" customHeight="1">
      <c r="A1094" t="s">
        <v>1145</v>
      </c>
      <c r="B1094">
        <v>12</v>
      </c>
      <c r="C1094" t="s">
        <v>1157</v>
      </c>
    </row>
    <row r="1095" spans="1:3" ht="14.25" customHeight="1">
      <c r="A1095" t="s">
        <v>1145</v>
      </c>
      <c r="B1095">
        <v>13</v>
      </c>
      <c r="C1095" t="s">
        <v>1158</v>
      </c>
    </row>
    <row r="1096" spans="1:3" ht="14.25" customHeight="1">
      <c r="A1096" t="s">
        <v>1145</v>
      </c>
      <c r="B1096">
        <v>14</v>
      </c>
      <c r="C1096" t="s">
        <v>1159</v>
      </c>
    </row>
    <row r="1097" spans="1:3" ht="14.25" customHeight="1">
      <c r="A1097" t="s">
        <v>1145</v>
      </c>
      <c r="B1097">
        <v>15</v>
      </c>
      <c r="C1097" t="s">
        <v>1160</v>
      </c>
    </row>
    <row r="1098" spans="1:3" ht="14.25" customHeight="1">
      <c r="A1098" t="s">
        <v>1145</v>
      </c>
      <c r="B1098">
        <v>16</v>
      </c>
      <c r="C1098" t="s">
        <v>1161</v>
      </c>
    </row>
    <row r="1099" spans="1:3" ht="14.25" customHeight="1">
      <c r="A1099" t="s">
        <v>1145</v>
      </c>
      <c r="B1099">
        <v>17</v>
      </c>
      <c r="C1099" t="s">
        <v>1162</v>
      </c>
    </row>
    <row r="1100" spans="1:3" ht="14.25" customHeight="1">
      <c r="A1100" t="s">
        <v>1145</v>
      </c>
      <c r="B1100">
        <v>18</v>
      </c>
      <c r="C1100" t="s">
        <v>1163</v>
      </c>
    </row>
    <row r="1101" spans="1:3" ht="14.25" customHeight="1">
      <c r="A1101" t="s">
        <v>1145</v>
      </c>
      <c r="B1101">
        <v>19</v>
      </c>
      <c r="C1101" t="s">
        <v>1164</v>
      </c>
    </row>
    <row r="1102" spans="1:3" ht="14.25" customHeight="1">
      <c r="A1102" t="s">
        <v>1145</v>
      </c>
      <c r="B1102">
        <v>20</v>
      </c>
      <c r="C1102" t="s">
        <v>1165</v>
      </c>
    </row>
    <row r="1103" spans="1:3" ht="14.25" customHeight="1">
      <c r="A1103" t="s">
        <v>1145</v>
      </c>
      <c r="B1103">
        <v>21</v>
      </c>
      <c r="C1103" t="s">
        <v>1166</v>
      </c>
    </row>
    <row r="1104" spans="1:3" ht="14.25" customHeight="1">
      <c r="A1104" t="s">
        <v>1145</v>
      </c>
      <c r="B1104">
        <v>22</v>
      </c>
      <c r="C1104" t="s">
        <v>1167</v>
      </c>
    </row>
    <row r="1105" spans="1:3" ht="14.25" customHeight="1">
      <c r="A1105" t="s">
        <v>1145</v>
      </c>
      <c r="B1105">
        <v>23</v>
      </c>
      <c r="C1105" t="s">
        <v>1168</v>
      </c>
    </row>
    <row r="1106" spans="1:3" ht="14.25" customHeight="1">
      <c r="A1106" t="s">
        <v>1145</v>
      </c>
      <c r="B1106">
        <v>24</v>
      </c>
      <c r="C1106" t="s">
        <v>1169</v>
      </c>
    </row>
    <row r="1107" spans="1:3" ht="14.25" customHeight="1">
      <c r="A1107" t="s">
        <v>1145</v>
      </c>
      <c r="B1107">
        <v>25</v>
      </c>
      <c r="C1107" t="s">
        <v>1170</v>
      </c>
    </row>
    <row r="1108" spans="1:3" ht="14.25" customHeight="1">
      <c r="A1108" t="s">
        <v>1145</v>
      </c>
      <c r="B1108">
        <v>26</v>
      </c>
      <c r="C1108" t="s">
        <v>1171</v>
      </c>
    </row>
    <row r="1109" spans="1:3" ht="14.25" customHeight="1">
      <c r="A1109" t="s">
        <v>1145</v>
      </c>
      <c r="B1109">
        <v>27</v>
      </c>
      <c r="C1109" t="s">
        <v>1172</v>
      </c>
    </row>
    <row r="1110" spans="1:3" ht="14.25" customHeight="1">
      <c r="A1110" t="s">
        <v>1145</v>
      </c>
      <c r="B1110">
        <v>28</v>
      </c>
      <c r="C1110" t="s">
        <v>1173</v>
      </c>
    </row>
    <row r="1111" spans="1:3" ht="14.25" customHeight="1">
      <c r="A1111" t="s">
        <v>1145</v>
      </c>
      <c r="B1111">
        <v>29</v>
      </c>
      <c r="C1111" t="s">
        <v>1174</v>
      </c>
    </row>
    <row r="1112" spans="1:3" ht="14.25" customHeight="1">
      <c r="A1112" t="s">
        <v>1145</v>
      </c>
      <c r="B1112">
        <v>30</v>
      </c>
      <c r="C1112" t="s">
        <v>1175</v>
      </c>
    </row>
    <row r="1113" spans="1:3" ht="14.25" customHeight="1">
      <c r="A1113" t="s">
        <v>1145</v>
      </c>
      <c r="B1113">
        <v>31</v>
      </c>
      <c r="C1113" t="s">
        <v>1176</v>
      </c>
    </row>
    <row r="1114" spans="1:3" ht="14.25" customHeight="1">
      <c r="A1114" t="s">
        <v>1145</v>
      </c>
      <c r="B1114">
        <v>32</v>
      </c>
      <c r="C1114" t="s">
        <v>1177</v>
      </c>
    </row>
    <row r="1115" spans="1:3" ht="14.25" customHeight="1">
      <c r="A1115" t="s">
        <v>1145</v>
      </c>
      <c r="B1115">
        <v>33</v>
      </c>
      <c r="C1115" t="s">
        <v>1178</v>
      </c>
    </row>
    <row r="1116" spans="1:3" ht="14.25" customHeight="1">
      <c r="A1116" t="s">
        <v>1145</v>
      </c>
      <c r="B1116">
        <v>34</v>
      </c>
      <c r="C1116" t="s">
        <v>1179</v>
      </c>
    </row>
    <row r="1117" spans="1:3" ht="14.25" customHeight="1">
      <c r="A1117" t="s">
        <v>1145</v>
      </c>
      <c r="B1117">
        <v>35</v>
      </c>
      <c r="C1117" t="s">
        <v>1180</v>
      </c>
    </row>
    <row r="1118" spans="1:3" ht="14.25" customHeight="1">
      <c r="A1118" t="s">
        <v>1145</v>
      </c>
      <c r="B1118">
        <v>36</v>
      </c>
      <c r="C1118" t="s">
        <v>1181</v>
      </c>
    </row>
    <row r="1119" spans="1:3" ht="14.25" customHeight="1">
      <c r="A1119" t="s">
        <v>1145</v>
      </c>
      <c r="B1119">
        <v>37</v>
      </c>
      <c r="C1119" t="s">
        <v>1182</v>
      </c>
    </row>
    <row r="1120" spans="1:3" ht="14.25" customHeight="1">
      <c r="A1120" t="s">
        <v>1145</v>
      </c>
      <c r="B1120">
        <v>38</v>
      </c>
      <c r="C1120" t="s">
        <v>1183</v>
      </c>
    </row>
    <row r="1121" spans="1:3" ht="14.25" customHeight="1">
      <c r="A1121" t="s">
        <v>1145</v>
      </c>
      <c r="B1121">
        <v>39</v>
      </c>
      <c r="C1121" t="s">
        <v>1184</v>
      </c>
    </row>
    <row r="1122" spans="1:3" ht="14.25" customHeight="1">
      <c r="A1122" t="s">
        <v>1145</v>
      </c>
      <c r="B1122">
        <v>40</v>
      </c>
      <c r="C1122" t="s">
        <v>1185</v>
      </c>
    </row>
    <row r="1123" spans="1:3" ht="14.25" customHeight="1">
      <c r="A1123" t="s">
        <v>1145</v>
      </c>
      <c r="B1123">
        <v>41</v>
      </c>
      <c r="C1123" t="s">
        <v>1186</v>
      </c>
    </row>
    <row r="1124" spans="1:3" ht="14.25" customHeight="1">
      <c r="A1124" t="s">
        <v>1145</v>
      </c>
      <c r="B1124">
        <v>42</v>
      </c>
      <c r="C1124" t="s">
        <v>1187</v>
      </c>
    </row>
    <row r="1125" spans="1:3" ht="14.25" customHeight="1">
      <c r="A1125" t="s">
        <v>1145</v>
      </c>
      <c r="B1125">
        <v>43</v>
      </c>
      <c r="C1125" t="s">
        <v>1188</v>
      </c>
    </row>
    <row r="1126" spans="1:3" ht="14.25" customHeight="1">
      <c r="A1126" t="s">
        <v>1145</v>
      </c>
      <c r="B1126">
        <v>44</v>
      </c>
      <c r="C1126" t="s">
        <v>1189</v>
      </c>
    </row>
    <row r="1127" spans="1:3" ht="14.25" customHeight="1">
      <c r="A1127" t="s">
        <v>1145</v>
      </c>
      <c r="B1127">
        <v>45</v>
      </c>
      <c r="C1127" t="s">
        <v>1190</v>
      </c>
    </row>
    <row r="1128" spans="1:3" ht="14.25" customHeight="1">
      <c r="A1128" t="s">
        <v>1145</v>
      </c>
      <c r="B1128">
        <v>46</v>
      </c>
      <c r="C1128" t="s">
        <v>1191</v>
      </c>
    </row>
    <row r="1129" spans="1:3" ht="14.25" customHeight="1">
      <c r="A1129" t="s">
        <v>1145</v>
      </c>
      <c r="B1129">
        <v>47</v>
      </c>
      <c r="C1129" t="s">
        <v>1192</v>
      </c>
    </row>
    <row r="1130" spans="1:3" ht="14.25" customHeight="1">
      <c r="A1130" t="s">
        <v>1145</v>
      </c>
      <c r="B1130">
        <v>48</v>
      </c>
      <c r="C1130" t="s">
        <v>1193</v>
      </c>
    </row>
    <row r="1131" spans="1:3" ht="14.25" customHeight="1">
      <c r="A1131" t="s">
        <v>1145</v>
      </c>
      <c r="B1131">
        <v>49</v>
      </c>
      <c r="C1131" t="s">
        <v>1194</v>
      </c>
    </row>
    <row r="1132" spans="1:3" ht="14.25" customHeight="1">
      <c r="A1132" t="s">
        <v>1145</v>
      </c>
      <c r="B1132">
        <v>50</v>
      </c>
      <c r="C1132" t="s">
        <v>1195</v>
      </c>
    </row>
    <row r="1133" spans="1:3" ht="14.25" customHeight="1">
      <c r="A1133" t="s">
        <v>1145</v>
      </c>
      <c r="B1133">
        <v>51</v>
      </c>
      <c r="C1133" t="s">
        <v>1196</v>
      </c>
    </row>
    <row r="1134" spans="1:3" ht="14.25" customHeight="1">
      <c r="A1134" t="s">
        <v>1145</v>
      </c>
      <c r="B1134">
        <v>52</v>
      </c>
      <c r="C1134" t="s">
        <v>1197</v>
      </c>
    </row>
    <row r="1135" spans="1:3" ht="14.25" customHeight="1">
      <c r="A1135" t="s">
        <v>1145</v>
      </c>
      <c r="B1135">
        <v>53</v>
      </c>
      <c r="C1135" t="s">
        <v>1198</v>
      </c>
    </row>
    <row r="1136" spans="1:3" ht="14.25" customHeight="1">
      <c r="A1136" t="s">
        <v>1145</v>
      </c>
      <c r="B1136">
        <v>54</v>
      </c>
      <c r="C1136" t="s">
        <v>1199</v>
      </c>
    </row>
    <row r="1137" spans="1:3" ht="14.25" customHeight="1">
      <c r="A1137" t="s">
        <v>1145</v>
      </c>
      <c r="B1137">
        <v>55</v>
      </c>
      <c r="C1137" t="s">
        <v>1200</v>
      </c>
    </row>
    <row r="1138" spans="1:3" ht="14.25" customHeight="1">
      <c r="A1138" t="s">
        <v>1145</v>
      </c>
      <c r="B1138">
        <v>56</v>
      </c>
      <c r="C1138" t="s">
        <v>1201</v>
      </c>
    </row>
    <row r="1139" spans="1:3" ht="14.25" customHeight="1">
      <c r="A1139" t="s">
        <v>1145</v>
      </c>
      <c r="B1139">
        <v>57</v>
      </c>
      <c r="C1139" t="s">
        <v>1202</v>
      </c>
    </row>
    <row r="1140" spans="1:3" ht="14.25" customHeight="1">
      <c r="A1140" t="s">
        <v>1145</v>
      </c>
      <c r="B1140">
        <v>58</v>
      </c>
      <c r="C1140" t="s">
        <v>1203</v>
      </c>
    </row>
    <row r="1141" spans="1:3" ht="14.25" customHeight="1">
      <c r="A1141" t="s">
        <v>1145</v>
      </c>
      <c r="B1141">
        <v>59</v>
      </c>
      <c r="C1141" t="s">
        <v>1204</v>
      </c>
    </row>
    <row r="1142" spans="1:3" ht="14.25" customHeight="1">
      <c r="A1142" t="s">
        <v>1145</v>
      </c>
      <c r="B1142">
        <v>60</v>
      </c>
      <c r="C1142" t="s">
        <v>1205</v>
      </c>
    </row>
    <row r="1143" spans="1:3" ht="14.25" customHeight="1">
      <c r="A1143" t="s">
        <v>1145</v>
      </c>
      <c r="B1143">
        <v>61</v>
      </c>
      <c r="C1143" t="s">
        <v>1206</v>
      </c>
    </row>
    <row r="1144" spans="1:3" ht="14.25" customHeight="1">
      <c r="A1144" t="s">
        <v>1145</v>
      </c>
      <c r="B1144">
        <v>62</v>
      </c>
      <c r="C1144" t="s">
        <v>1207</v>
      </c>
    </row>
    <row r="1145" spans="1:3" ht="14.25" customHeight="1">
      <c r="A1145" t="s">
        <v>1145</v>
      </c>
      <c r="B1145">
        <v>63</v>
      </c>
      <c r="C1145" t="s">
        <v>1208</v>
      </c>
    </row>
    <row r="1146" spans="1:3" ht="14.25" customHeight="1">
      <c r="A1146" t="s">
        <v>1145</v>
      </c>
      <c r="B1146">
        <v>64</v>
      </c>
      <c r="C1146" t="s">
        <v>1209</v>
      </c>
    </row>
    <row r="1147" spans="1:3" ht="14.25" customHeight="1">
      <c r="A1147" t="s">
        <v>1145</v>
      </c>
      <c r="B1147">
        <v>65</v>
      </c>
      <c r="C1147" t="s">
        <v>1210</v>
      </c>
    </row>
    <row r="1148" spans="1:3" ht="14.25" customHeight="1">
      <c r="A1148" t="s">
        <v>1145</v>
      </c>
      <c r="B1148">
        <v>66</v>
      </c>
      <c r="C1148" t="s">
        <v>1211</v>
      </c>
    </row>
    <row r="1149" spans="1:3" ht="14.25" customHeight="1">
      <c r="A1149" t="s">
        <v>1145</v>
      </c>
      <c r="B1149">
        <v>67</v>
      </c>
      <c r="C1149" t="s">
        <v>1212</v>
      </c>
    </row>
    <row r="1150" spans="1:3" ht="14.25" customHeight="1">
      <c r="A1150" t="s">
        <v>1145</v>
      </c>
      <c r="B1150">
        <v>68</v>
      </c>
      <c r="C1150" t="s">
        <v>1213</v>
      </c>
    </row>
    <row r="1151" spans="1:3" ht="14.25" customHeight="1">
      <c r="A1151" t="s">
        <v>1145</v>
      </c>
      <c r="B1151">
        <v>69</v>
      </c>
      <c r="C1151" t="s">
        <v>1214</v>
      </c>
    </row>
    <row r="1152" spans="1:3" ht="14.25" customHeight="1">
      <c r="A1152" t="s">
        <v>1145</v>
      </c>
      <c r="B1152">
        <v>70</v>
      </c>
      <c r="C1152" t="s">
        <v>1215</v>
      </c>
    </row>
    <row r="1153" spans="1:3" ht="14.25" customHeight="1">
      <c r="A1153" t="s">
        <v>1145</v>
      </c>
      <c r="B1153">
        <v>71</v>
      </c>
      <c r="C1153" t="s">
        <v>1216</v>
      </c>
    </row>
    <row r="1154" spans="1:3" ht="14.25" customHeight="1">
      <c r="A1154" t="s">
        <v>1145</v>
      </c>
      <c r="B1154">
        <v>72</v>
      </c>
      <c r="C1154" t="s">
        <v>1217</v>
      </c>
    </row>
    <row r="1155" spans="1:3" ht="14.25" customHeight="1">
      <c r="A1155" t="s">
        <v>1145</v>
      </c>
      <c r="B1155">
        <v>73</v>
      </c>
      <c r="C1155" t="s">
        <v>1218</v>
      </c>
    </row>
    <row r="1156" spans="1:3" ht="14.25" customHeight="1">
      <c r="A1156" t="s">
        <v>1145</v>
      </c>
      <c r="B1156">
        <v>74</v>
      </c>
      <c r="C1156" t="s">
        <v>1219</v>
      </c>
    </row>
    <row r="1157" spans="1:3" ht="14.25" customHeight="1">
      <c r="A1157" t="s">
        <v>1145</v>
      </c>
      <c r="B1157">
        <v>75</v>
      </c>
      <c r="C1157" t="s">
        <v>1220</v>
      </c>
    </row>
    <row r="1158" spans="1:3" ht="14.25" customHeight="1">
      <c r="A1158" t="s">
        <v>1145</v>
      </c>
      <c r="B1158">
        <v>76</v>
      </c>
      <c r="C1158" t="s">
        <v>1221</v>
      </c>
    </row>
    <row r="1159" spans="1:3" ht="14.25" customHeight="1">
      <c r="A1159" t="s">
        <v>1145</v>
      </c>
      <c r="B1159">
        <v>77</v>
      </c>
      <c r="C1159" t="s">
        <v>1222</v>
      </c>
    </row>
    <row r="1160" spans="1:3" ht="14.25" customHeight="1">
      <c r="A1160" t="s">
        <v>1145</v>
      </c>
      <c r="B1160">
        <v>78</v>
      </c>
      <c r="C1160" t="s">
        <v>1223</v>
      </c>
    </row>
    <row r="1161" spans="1:3" ht="14.25" customHeight="1">
      <c r="A1161" t="s">
        <v>1145</v>
      </c>
      <c r="B1161">
        <v>79</v>
      </c>
      <c r="C1161" t="s">
        <v>1224</v>
      </c>
    </row>
    <row r="1162" spans="1:3" ht="14.25" customHeight="1">
      <c r="A1162" t="s">
        <v>1145</v>
      </c>
      <c r="B1162">
        <v>80</v>
      </c>
      <c r="C1162" t="s">
        <v>1225</v>
      </c>
    </row>
    <row r="1163" spans="1:3" ht="14.25" customHeight="1">
      <c r="A1163" t="s">
        <v>1145</v>
      </c>
      <c r="B1163">
        <v>81</v>
      </c>
      <c r="C1163" t="s">
        <v>1226</v>
      </c>
    </row>
    <row r="1164" spans="1:3" ht="14.25" customHeight="1">
      <c r="A1164" t="s">
        <v>1145</v>
      </c>
      <c r="B1164">
        <v>82</v>
      </c>
      <c r="C1164" t="s">
        <v>1227</v>
      </c>
    </row>
    <row r="1165" spans="1:3" ht="14.25" customHeight="1">
      <c r="A1165" t="s">
        <v>1145</v>
      </c>
      <c r="B1165">
        <v>83</v>
      </c>
      <c r="C1165" t="s">
        <v>1228</v>
      </c>
    </row>
    <row r="1166" spans="1:3" ht="14.25" customHeight="1">
      <c r="A1166" t="s">
        <v>1145</v>
      </c>
      <c r="B1166">
        <v>84</v>
      </c>
      <c r="C1166" t="s">
        <v>1229</v>
      </c>
    </row>
    <row r="1167" spans="1:3" ht="14.25" customHeight="1">
      <c r="A1167" t="s">
        <v>1145</v>
      </c>
      <c r="B1167">
        <v>85</v>
      </c>
      <c r="C1167" t="s">
        <v>1230</v>
      </c>
    </row>
    <row r="1168" spans="1:3" ht="14.25" customHeight="1">
      <c r="A1168" t="s">
        <v>1145</v>
      </c>
      <c r="B1168">
        <v>86</v>
      </c>
      <c r="C1168" t="s">
        <v>1231</v>
      </c>
    </row>
    <row r="1169" spans="1:3" ht="14.25" customHeight="1">
      <c r="A1169" t="s">
        <v>1145</v>
      </c>
      <c r="B1169">
        <v>87</v>
      </c>
      <c r="C1169" t="s">
        <v>1232</v>
      </c>
    </row>
    <row r="1170" spans="1:3" ht="14.25" customHeight="1">
      <c r="A1170" t="s">
        <v>1145</v>
      </c>
      <c r="B1170">
        <v>88</v>
      </c>
      <c r="C1170" t="s">
        <v>1233</v>
      </c>
    </row>
    <row r="1171" spans="1:3" ht="14.25" customHeight="1">
      <c r="A1171" t="s">
        <v>1145</v>
      </c>
      <c r="B1171">
        <v>89</v>
      </c>
      <c r="C1171" t="s">
        <v>1234</v>
      </c>
    </row>
    <row r="1172" spans="1:3" ht="14.25" customHeight="1">
      <c r="A1172" t="s">
        <v>1145</v>
      </c>
      <c r="B1172">
        <v>90</v>
      </c>
      <c r="C1172" t="s">
        <v>1235</v>
      </c>
    </row>
    <row r="1173" spans="1:3" ht="14.25" customHeight="1">
      <c r="A1173" t="s">
        <v>1145</v>
      </c>
      <c r="B1173">
        <v>91</v>
      </c>
      <c r="C1173" t="s">
        <v>1236</v>
      </c>
    </row>
    <row r="1174" spans="1:3" ht="14.25" customHeight="1">
      <c r="A1174" t="s">
        <v>1145</v>
      </c>
      <c r="B1174">
        <v>92</v>
      </c>
      <c r="C1174" t="s">
        <v>1237</v>
      </c>
    </row>
    <row r="1175" spans="1:3" ht="14.25" customHeight="1">
      <c r="A1175" t="s">
        <v>1145</v>
      </c>
      <c r="B1175">
        <v>93</v>
      </c>
      <c r="C1175" t="s">
        <v>1238</v>
      </c>
    </row>
    <row r="1176" spans="1:3" ht="14.25" customHeight="1">
      <c r="A1176" t="s">
        <v>1145</v>
      </c>
      <c r="B1176">
        <v>94</v>
      </c>
      <c r="C1176" t="s">
        <v>1239</v>
      </c>
    </row>
    <row r="1177" spans="1:3" ht="14.25" customHeight="1">
      <c r="A1177" t="s">
        <v>1145</v>
      </c>
      <c r="B1177">
        <v>95</v>
      </c>
      <c r="C1177" t="s">
        <v>1240</v>
      </c>
    </row>
    <row r="1178" spans="1:3" ht="14.25" customHeight="1">
      <c r="A1178" t="s">
        <v>1145</v>
      </c>
      <c r="B1178">
        <v>96</v>
      </c>
      <c r="C1178" t="s">
        <v>1241</v>
      </c>
    </row>
    <row r="1179" spans="1:3" ht="14.25" customHeight="1">
      <c r="A1179" t="s">
        <v>1145</v>
      </c>
      <c r="B1179">
        <v>97</v>
      </c>
      <c r="C1179" t="s">
        <v>1242</v>
      </c>
    </row>
    <row r="1180" spans="1:3" ht="14.25" customHeight="1">
      <c r="A1180" t="s">
        <v>1145</v>
      </c>
      <c r="B1180">
        <v>98</v>
      </c>
      <c r="C1180" t="s">
        <v>1243</v>
      </c>
    </row>
    <row r="1181" spans="1:3" ht="14.25" customHeight="1">
      <c r="A1181" t="s">
        <v>1145</v>
      </c>
      <c r="B1181">
        <v>99</v>
      </c>
      <c r="C1181" t="s">
        <v>1244</v>
      </c>
    </row>
    <row r="1182" spans="1:3" ht="14.25" customHeight="1">
      <c r="A1182" t="s">
        <v>1145</v>
      </c>
      <c r="B1182">
        <v>100</v>
      </c>
      <c r="C1182" t="s">
        <v>1245</v>
      </c>
    </row>
    <row r="1183" spans="1:3" ht="14.25" customHeight="1">
      <c r="A1183" t="s">
        <v>1145</v>
      </c>
      <c r="B1183">
        <v>101</v>
      </c>
      <c r="C1183" t="s">
        <v>1246</v>
      </c>
    </row>
    <row r="1184" spans="1:3" ht="14.25" customHeight="1">
      <c r="A1184" t="s">
        <v>1145</v>
      </c>
      <c r="B1184">
        <v>102</v>
      </c>
      <c r="C1184" t="s">
        <v>1247</v>
      </c>
    </row>
    <row r="1185" spans="1:3" ht="14.25" customHeight="1">
      <c r="A1185" t="s">
        <v>1145</v>
      </c>
      <c r="B1185">
        <v>103</v>
      </c>
      <c r="C1185" t="s">
        <v>1248</v>
      </c>
    </row>
    <row r="1186" spans="1:3" ht="14.25" customHeight="1">
      <c r="A1186" t="s">
        <v>1145</v>
      </c>
      <c r="B1186">
        <v>104</v>
      </c>
      <c r="C1186" t="s">
        <v>1249</v>
      </c>
    </row>
    <row r="1187" spans="1:3" ht="14.25" customHeight="1">
      <c r="A1187" t="s">
        <v>1145</v>
      </c>
      <c r="B1187">
        <v>105</v>
      </c>
      <c r="C1187" t="s">
        <v>1250</v>
      </c>
    </row>
    <row r="1188" spans="1:3" ht="14.25" customHeight="1">
      <c r="A1188" t="s">
        <v>1145</v>
      </c>
      <c r="B1188">
        <v>106</v>
      </c>
      <c r="C1188" t="s">
        <v>1251</v>
      </c>
    </row>
    <row r="1189" spans="1:3" ht="14.25" customHeight="1">
      <c r="A1189" t="s">
        <v>1145</v>
      </c>
      <c r="B1189">
        <v>107</v>
      </c>
      <c r="C1189" t="s">
        <v>1252</v>
      </c>
    </row>
    <row r="1190" spans="1:3" ht="14.25" customHeight="1">
      <c r="A1190" t="s">
        <v>1145</v>
      </c>
      <c r="B1190">
        <v>108</v>
      </c>
      <c r="C1190" t="s">
        <v>1253</v>
      </c>
    </row>
    <row r="1191" spans="1:3" ht="14.25" customHeight="1">
      <c r="A1191" t="s">
        <v>1145</v>
      </c>
      <c r="B1191">
        <v>109</v>
      </c>
      <c r="C1191" t="s">
        <v>1254</v>
      </c>
    </row>
    <row r="1192" spans="1:3" ht="14.25" customHeight="1">
      <c r="A1192" t="s">
        <v>1145</v>
      </c>
      <c r="B1192">
        <v>110</v>
      </c>
      <c r="C1192" t="s">
        <v>1255</v>
      </c>
    </row>
    <row r="1193" spans="1:3" ht="14.25" customHeight="1">
      <c r="A1193" t="s">
        <v>1145</v>
      </c>
      <c r="B1193">
        <v>111</v>
      </c>
      <c r="C1193" t="s">
        <v>1256</v>
      </c>
    </row>
    <row r="1194" spans="1:3" ht="14.25" customHeight="1">
      <c r="A1194" t="s">
        <v>1145</v>
      </c>
      <c r="B1194">
        <v>112</v>
      </c>
      <c r="C1194" t="s">
        <v>1257</v>
      </c>
    </row>
    <row r="1195" spans="1:3" ht="14.25" customHeight="1">
      <c r="A1195" t="s">
        <v>1145</v>
      </c>
      <c r="B1195">
        <v>113</v>
      </c>
      <c r="C1195" t="s">
        <v>1258</v>
      </c>
    </row>
    <row r="1196" spans="1:3" ht="14.25" customHeight="1">
      <c r="A1196" t="s">
        <v>1145</v>
      </c>
      <c r="B1196">
        <v>114</v>
      </c>
      <c r="C1196" t="s">
        <v>1259</v>
      </c>
    </row>
    <row r="1197" spans="1:3" ht="14.25" customHeight="1">
      <c r="A1197" t="s">
        <v>1145</v>
      </c>
      <c r="B1197">
        <v>115</v>
      </c>
      <c r="C1197" t="s">
        <v>1260</v>
      </c>
    </row>
    <row r="1198" spans="1:3" ht="14.25" customHeight="1">
      <c r="A1198" t="s">
        <v>1145</v>
      </c>
      <c r="B1198">
        <v>116</v>
      </c>
      <c r="C1198" t="s">
        <v>1261</v>
      </c>
    </row>
    <row r="1199" spans="1:3" ht="14.25" customHeight="1">
      <c r="A1199" t="s">
        <v>1145</v>
      </c>
      <c r="B1199">
        <v>117</v>
      </c>
      <c r="C1199" t="s">
        <v>1262</v>
      </c>
    </row>
    <row r="1200" spans="1:3" ht="14.25" customHeight="1">
      <c r="A1200" t="s">
        <v>1145</v>
      </c>
      <c r="B1200">
        <v>118</v>
      </c>
      <c r="C1200" t="s">
        <v>1263</v>
      </c>
    </row>
    <row r="1201" spans="1:3" ht="14.25" customHeight="1">
      <c r="A1201" t="s">
        <v>1264</v>
      </c>
      <c r="B1201">
        <v>1</v>
      </c>
      <c r="C1201" t="s">
        <v>1265</v>
      </c>
    </row>
    <row r="1202" spans="1:3" ht="14.25" customHeight="1">
      <c r="A1202" t="s">
        <v>1264</v>
      </c>
      <c r="B1202">
        <v>2</v>
      </c>
      <c r="C1202" t="s">
        <v>1266</v>
      </c>
    </row>
    <row r="1203" spans="1:3" ht="14.25" customHeight="1">
      <c r="A1203" t="s">
        <v>1264</v>
      </c>
      <c r="B1203">
        <v>3</v>
      </c>
      <c r="C1203" t="s">
        <v>1267</v>
      </c>
    </row>
    <row r="1204" spans="1:3" ht="14.25" customHeight="1">
      <c r="A1204" t="s">
        <v>1264</v>
      </c>
      <c r="B1204">
        <v>4</v>
      </c>
      <c r="C1204" t="s">
        <v>1268</v>
      </c>
    </row>
    <row r="1205" spans="1:3" ht="14.25" customHeight="1">
      <c r="A1205" t="s">
        <v>1264</v>
      </c>
      <c r="B1205">
        <v>5</v>
      </c>
      <c r="C1205" t="s">
        <v>1269</v>
      </c>
    </row>
    <row r="1206" spans="1:3" ht="14.25" customHeight="1">
      <c r="A1206" t="s">
        <v>1264</v>
      </c>
      <c r="B1206">
        <v>6</v>
      </c>
      <c r="C1206" t="s">
        <v>1270</v>
      </c>
    </row>
    <row r="1207" spans="1:3" ht="14.25" customHeight="1">
      <c r="A1207" t="s">
        <v>1264</v>
      </c>
      <c r="B1207">
        <v>7</v>
      </c>
      <c r="C1207" t="s">
        <v>1271</v>
      </c>
    </row>
    <row r="1208" spans="1:3" ht="14.25" customHeight="1">
      <c r="A1208" t="s">
        <v>1264</v>
      </c>
      <c r="B1208">
        <v>8</v>
      </c>
      <c r="C1208" t="s">
        <v>1272</v>
      </c>
    </row>
    <row r="1209" spans="1:3" ht="14.25" customHeight="1">
      <c r="A1209" t="s">
        <v>1264</v>
      </c>
      <c r="B1209">
        <v>9</v>
      </c>
      <c r="C1209" t="s">
        <v>1273</v>
      </c>
    </row>
    <row r="1210" spans="1:3" ht="14.25" customHeight="1">
      <c r="A1210" t="s">
        <v>1264</v>
      </c>
      <c r="B1210">
        <v>10</v>
      </c>
      <c r="C1210" t="s">
        <v>1274</v>
      </c>
    </row>
    <row r="1211" spans="1:3" ht="14.25" customHeight="1">
      <c r="A1211" t="s">
        <v>1264</v>
      </c>
      <c r="B1211">
        <v>11</v>
      </c>
      <c r="C1211" t="s">
        <v>1275</v>
      </c>
    </row>
    <row r="1212" spans="1:3" ht="14.25" customHeight="1">
      <c r="A1212" t="s">
        <v>1264</v>
      </c>
      <c r="B1212">
        <v>12</v>
      </c>
      <c r="C1212" t="s">
        <v>1276</v>
      </c>
    </row>
    <row r="1213" spans="1:3" ht="14.25" customHeight="1">
      <c r="A1213" t="s">
        <v>1264</v>
      </c>
      <c r="B1213">
        <v>13</v>
      </c>
      <c r="C1213" t="s">
        <v>1277</v>
      </c>
    </row>
    <row r="1214" spans="1:3" ht="14.25" customHeight="1">
      <c r="A1214" t="s">
        <v>1264</v>
      </c>
      <c r="B1214">
        <v>14</v>
      </c>
      <c r="C1214" t="s">
        <v>1278</v>
      </c>
    </row>
    <row r="1215" spans="1:3" ht="14.25" customHeight="1">
      <c r="A1215" t="s">
        <v>1279</v>
      </c>
      <c r="B1215">
        <v>1</v>
      </c>
      <c r="C1215" t="s">
        <v>1280</v>
      </c>
    </row>
    <row r="1216" spans="1:3" ht="14.25" customHeight="1">
      <c r="A1216" t="s">
        <v>1279</v>
      </c>
      <c r="B1216">
        <v>2</v>
      </c>
      <c r="C1216" t="s">
        <v>1281</v>
      </c>
    </row>
    <row r="1217" spans="1:3" ht="14.25" customHeight="1">
      <c r="A1217" t="s">
        <v>1279</v>
      </c>
      <c r="B1217">
        <v>3</v>
      </c>
      <c r="C1217" t="s">
        <v>1282</v>
      </c>
    </row>
    <row r="1218" spans="1:3" ht="14.25" customHeight="1">
      <c r="A1218" t="s">
        <v>1279</v>
      </c>
      <c r="B1218">
        <v>4</v>
      </c>
      <c r="C1218" t="s">
        <v>1283</v>
      </c>
    </row>
    <row r="1219" spans="1:3" ht="14.25" customHeight="1">
      <c r="A1219" t="s">
        <v>1279</v>
      </c>
      <c r="B1219">
        <v>5</v>
      </c>
      <c r="C1219" t="s">
        <v>1284</v>
      </c>
    </row>
    <row r="1220" spans="1:3" ht="14.25" customHeight="1">
      <c r="A1220" t="s">
        <v>1279</v>
      </c>
      <c r="B1220">
        <v>6</v>
      </c>
      <c r="C1220" t="s">
        <v>1285</v>
      </c>
    </row>
    <row r="1221" spans="1:3" ht="14.25" customHeight="1">
      <c r="A1221" t="s">
        <v>1286</v>
      </c>
      <c r="B1221">
        <v>1</v>
      </c>
      <c r="C1221" t="s">
        <v>1287</v>
      </c>
    </row>
    <row r="1222" spans="1:3" ht="14.25" customHeight="1">
      <c r="A1222" t="s">
        <v>1286</v>
      </c>
      <c r="B1222">
        <v>2</v>
      </c>
      <c r="C1222" t="s">
        <v>1288</v>
      </c>
    </row>
    <row r="1223" spans="1:3" ht="14.25" customHeight="1">
      <c r="A1223" t="s">
        <v>1286</v>
      </c>
      <c r="B1223">
        <v>3</v>
      </c>
      <c r="C1223" t="s">
        <v>1289</v>
      </c>
    </row>
    <row r="1224" spans="1:3" ht="14.25" customHeight="1">
      <c r="A1224" t="s">
        <v>1286</v>
      </c>
      <c r="B1224">
        <v>4</v>
      </c>
      <c r="C1224" t="s">
        <v>1290</v>
      </c>
    </row>
    <row r="1225" spans="1:3" ht="14.25" customHeight="1">
      <c r="A1225" t="s">
        <v>1286</v>
      </c>
      <c r="B1225">
        <v>5</v>
      </c>
      <c r="C1225" t="s">
        <v>1291</v>
      </c>
    </row>
    <row r="1226" spans="1:3" ht="14.25" customHeight="1">
      <c r="A1226" t="s">
        <v>1292</v>
      </c>
      <c r="B1226">
        <v>1</v>
      </c>
      <c r="C1226" t="s">
        <v>1293</v>
      </c>
    </row>
    <row r="1227" spans="1:3" ht="14.25" customHeight="1">
      <c r="A1227" t="s">
        <v>1292</v>
      </c>
      <c r="B1227">
        <v>2</v>
      </c>
      <c r="C1227" t="s">
        <v>1294</v>
      </c>
    </row>
    <row r="1228" spans="1:3" ht="14.25" customHeight="1">
      <c r="A1228" t="s">
        <v>1292</v>
      </c>
      <c r="B1228">
        <v>3</v>
      </c>
      <c r="C1228" t="s">
        <v>1295</v>
      </c>
    </row>
    <row r="1229" spans="1:3" ht="14.25" customHeight="1">
      <c r="A1229" t="s">
        <v>1292</v>
      </c>
      <c r="B1229">
        <v>4</v>
      </c>
      <c r="C1229" t="s">
        <v>1296</v>
      </c>
    </row>
    <row r="1230" spans="1:3" ht="14.25" customHeight="1">
      <c r="A1230" t="s">
        <v>1292</v>
      </c>
      <c r="B1230">
        <v>5</v>
      </c>
      <c r="C1230" t="s">
        <v>1297</v>
      </c>
    </row>
    <row r="1231" spans="1:3" ht="14.25" customHeight="1">
      <c r="A1231" t="s">
        <v>1292</v>
      </c>
      <c r="B1231">
        <v>6</v>
      </c>
      <c r="C1231" t="s">
        <v>1298</v>
      </c>
    </row>
    <row r="1232" spans="1:3" ht="14.25" customHeight="1">
      <c r="A1232" t="s">
        <v>1299</v>
      </c>
      <c r="B1232">
        <v>1</v>
      </c>
      <c r="C1232" t="s">
        <v>1300</v>
      </c>
    </row>
    <row r="1233" spans="1:3" ht="14.25" customHeight="1">
      <c r="A1233" t="s">
        <v>1299</v>
      </c>
      <c r="B1233">
        <v>2</v>
      </c>
      <c r="C1233" t="s">
        <v>735</v>
      </c>
    </row>
    <row r="1234" spans="1:3" ht="14.25" customHeight="1">
      <c r="A1234" t="s">
        <v>1299</v>
      </c>
      <c r="B1234">
        <v>3</v>
      </c>
      <c r="C1234" t="s">
        <v>1301</v>
      </c>
    </row>
    <row r="1235" spans="1:3" ht="14.25" customHeight="1">
      <c r="A1235" t="s">
        <v>1299</v>
      </c>
      <c r="B1235">
        <v>4</v>
      </c>
      <c r="C1235" t="s">
        <v>1302</v>
      </c>
    </row>
    <row r="1236" spans="1:3" ht="14.25" customHeight="1">
      <c r="A1236" t="s">
        <v>1299</v>
      </c>
      <c r="B1236">
        <v>5</v>
      </c>
      <c r="C1236" t="s">
        <v>1303</v>
      </c>
    </row>
    <row r="1237" spans="1:3" ht="14.25" customHeight="1">
      <c r="A1237" t="s">
        <v>1299</v>
      </c>
      <c r="B1237">
        <v>6</v>
      </c>
      <c r="C1237" t="s">
        <v>1304</v>
      </c>
    </row>
    <row r="1238" spans="1:3" ht="14.25" customHeight="1">
      <c r="A1238" t="s">
        <v>1305</v>
      </c>
      <c r="B1238">
        <v>1</v>
      </c>
      <c r="C1238" t="s">
        <v>1306</v>
      </c>
    </row>
    <row r="1239" spans="1:3" ht="14.25" customHeight="1">
      <c r="A1239" t="s">
        <v>1305</v>
      </c>
      <c r="B1239">
        <v>2</v>
      </c>
      <c r="C1239" t="s">
        <v>1307</v>
      </c>
    </row>
    <row r="1240" spans="1:3" ht="14.25" customHeight="1">
      <c r="A1240" t="s">
        <v>1305</v>
      </c>
      <c r="B1240">
        <v>3</v>
      </c>
      <c r="C1240" t="s">
        <v>1308</v>
      </c>
    </row>
    <row r="1241" spans="1:3" ht="14.25" customHeight="1">
      <c r="A1241" t="s">
        <v>1305</v>
      </c>
      <c r="B1241">
        <v>4</v>
      </c>
      <c r="C1241" t="s">
        <v>1309</v>
      </c>
    </row>
    <row r="1242" spans="1:3" ht="14.25" customHeight="1">
      <c r="A1242" t="s">
        <v>1305</v>
      </c>
      <c r="B1242">
        <v>5</v>
      </c>
      <c r="C1242" t="s">
        <v>1310</v>
      </c>
    </row>
    <row r="1243" spans="1:3" ht="14.25" customHeight="1">
      <c r="A1243" t="s">
        <v>1305</v>
      </c>
      <c r="B1243">
        <v>6</v>
      </c>
      <c r="C1243" t="s">
        <v>1311</v>
      </c>
    </row>
    <row r="1244" spans="1:3" ht="14.25" customHeight="1">
      <c r="A1244" t="s">
        <v>1305</v>
      </c>
      <c r="B1244">
        <v>7</v>
      </c>
      <c r="C1244" t="s">
        <v>1312</v>
      </c>
    </row>
    <row r="1245" spans="1:3" ht="14.25" customHeight="1">
      <c r="A1245" t="s">
        <v>1305</v>
      </c>
      <c r="B1245">
        <v>8</v>
      </c>
      <c r="C1245" t="s">
        <v>1313</v>
      </c>
    </row>
    <row r="1246" spans="1:3" ht="14.25" customHeight="1">
      <c r="A1246" t="s">
        <v>1314</v>
      </c>
      <c r="B1246">
        <v>1</v>
      </c>
      <c r="C1246" t="s">
        <v>1315</v>
      </c>
    </row>
    <row r="1247" spans="1:3" ht="14.25" customHeight="1">
      <c r="A1247" t="s">
        <v>1314</v>
      </c>
      <c r="B1247">
        <v>2</v>
      </c>
      <c r="C1247" t="s">
        <v>1316</v>
      </c>
    </row>
    <row r="1248" spans="1:3" ht="14.25" customHeight="1">
      <c r="A1248" t="s">
        <v>1317</v>
      </c>
      <c r="B1248">
        <v>1</v>
      </c>
      <c r="C1248" t="s">
        <v>1318</v>
      </c>
    </row>
    <row r="1249" spans="1:3" ht="14.25" customHeight="1">
      <c r="A1249" t="s">
        <v>1317</v>
      </c>
      <c r="B1249">
        <v>2</v>
      </c>
      <c r="C1249" t="s">
        <v>1319</v>
      </c>
    </row>
    <row r="1250" spans="1:3" ht="14.25" customHeight="1">
      <c r="A1250" t="s">
        <v>1317</v>
      </c>
      <c r="B1250">
        <v>3</v>
      </c>
      <c r="C1250" t="s">
        <v>1320</v>
      </c>
    </row>
    <row r="1251" spans="1:3" ht="14.25" customHeight="1">
      <c r="A1251" t="s">
        <v>1317</v>
      </c>
      <c r="B1251">
        <v>4</v>
      </c>
      <c r="C1251" t="s">
        <v>1321</v>
      </c>
    </row>
    <row r="1252" spans="1:3" ht="14.25" customHeight="1">
      <c r="A1252" t="s">
        <v>1317</v>
      </c>
      <c r="B1252">
        <v>5</v>
      </c>
      <c r="C1252" t="s">
        <v>1322</v>
      </c>
    </row>
    <row r="1253" spans="1:3" ht="14.25" customHeight="1">
      <c r="A1253" t="s">
        <v>1317</v>
      </c>
      <c r="B1253">
        <v>6</v>
      </c>
      <c r="C1253" t="s">
        <v>1323</v>
      </c>
    </row>
    <row r="1254" spans="1:3" ht="14.25" customHeight="1">
      <c r="A1254" t="s">
        <v>1317</v>
      </c>
      <c r="B1254">
        <v>7</v>
      </c>
      <c r="C1254" t="s">
        <v>1324</v>
      </c>
    </row>
    <row r="1255" spans="1:3" ht="14.25" customHeight="1">
      <c r="A1255" t="s">
        <v>1317</v>
      </c>
      <c r="B1255">
        <v>8</v>
      </c>
      <c r="C1255" t="s">
        <v>1325</v>
      </c>
    </row>
    <row r="1256" spans="1:3" ht="14.25" customHeight="1">
      <c r="A1256" t="s">
        <v>1317</v>
      </c>
      <c r="B1256">
        <v>9</v>
      </c>
      <c r="C1256" t="s">
        <v>1326</v>
      </c>
    </row>
    <row r="1257" spans="1:3" ht="14.25" customHeight="1">
      <c r="A1257" t="s">
        <v>1317</v>
      </c>
      <c r="B1257">
        <v>10</v>
      </c>
      <c r="C1257" t="s">
        <v>1327</v>
      </c>
    </row>
    <row r="1258" spans="1:3" ht="14.25" customHeight="1">
      <c r="A1258" t="s">
        <v>1317</v>
      </c>
      <c r="B1258">
        <v>11</v>
      </c>
      <c r="C1258" t="s">
        <v>1328</v>
      </c>
    </row>
    <row r="1259" spans="1:3" ht="14.25" customHeight="1">
      <c r="A1259" t="s">
        <v>1317</v>
      </c>
      <c r="B1259">
        <v>12</v>
      </c>
      <c r="C1259" t="s">
        <v>1329</v>
      </c>
    </row>
    <row r="1260" spans="1:3" ht="14.25" customHeight="1">
      <c r="A1260" t="s">
        <v>1317</v>
      </c>
      <c r="B1260">
        <v>13</v>
      </c>
      <c r="C1260" t="s">
        <v>1330</v>
      </c>
    </row>
    <row r="1261" spans="1:3" ht="14.25" customHeight="1">
      <c r="A1261" t="s">
        <v>1317</v>
      </c>
      <c r="B1261">
        <v>14</v>
      </c>
      <c r="C1261" t="s">
        <v>1331</v>
      </c>
    </row>
    <row r="1262" spans="1:3" ht="14.25" customHeight="1">
      <c r="A1262" t="s">
        <v>1332</v>
      </c>
      <c r="B1262">
        <v>1</v>
      </c>
      <c r="C1262" t="s">
        <v>1333</v>
      </c>
    </row>
    <row r="1263" spans="1:3" ht="14.25" customHeight="1">
      <c r="A1263" t="s">
        <v>1332</v>
      </c>
      <c r="B1263">
        <v>2</v>
      </c>
      <c r="C1263" t="s">
        <v>1334</v>
      </c>
    </row>
    <row r="1264" spans="1:3" ht="14.25" customHeight="1">
      <c r="A1264" t="s">
        <v>1332</v>
      </c>
      <c r="B1264">
        <v>3</v>
      </c>
      <c r="C1264" t="s">
        <v>1335</v>
      </c>
    </row>
    <row r="1265" spans="1:3" ht="14.25" customHeight="1">
      <c r="A1265" t="s">
        <v>1332</v>
      </c>
      <c r="B1265">
        <v>4</v>
      </c>
      <c r="C1265" t="s">
        <v>1336</v>
      </c>
    </row>
    <row r="1266" spans="1:3" ht="14.25" customHeight="1">
      <c r="A1266" t="s">
        <v>1332</v>
      </c>
      <c r="B1266">
        <v>5</v>
      </c>
      <c r="C1266" t="s">
        <v>1337</v>
      </c>
    </row>
    <row r="1267" spans="1:3" ht="14.25" customHeight="1">
      <c r="A1267" t="s">
        <v>1332</v>
      </c>
      <c r="B1267">
        <v>6</v>
      </c>
      <c r="C1267" t="s">
        <v>1338</v>
      </c>
    </row>
    <row r="1268" spans="1:3" ht="14.25" customHeight="1">
      <c r="A1268" t="s">
        <v>1332</v>
      </c>
      <c r="B1268">
        <v>7</v>
      </c>
      <c r="C1268" t="s">
        <v>1339</v>
      </c>
    </row>
    <row r="1269" spans="1:3" ht="14.25" customHeight="1">
      <c r="A1269" t="s">
        <v>1332</v>
      </c>
      <c r="B1269">
        <v>8</v>
      </c>
      <c r="C1269" t="s">
        <v>1340</v>
      </c>
    </row>
    <row r="1270" spans="1:3" ht="14.25" customHeight="1">
      <c r="A1270" t="s">
        <v>1332</v>
      </c>
      <c r="B1270">
        <v>9</v>
      </c>
      <c r="C1270" t="s">
        <v>1341</v>
      </c>
    </row>
    <row r="1271" spans="1:3" ht="14.25" customHeight="1">
      <c r="A1271" t="s">
        <v>1332</v>
      </c>
      <c r="B1271">
        <v>10</v>
      </c>
      <c r="C1271" t="s">
        <v>1342</v>
      </c>
    </row>
    <row r="1272" spans="1:3" ht="14.25" customHeight="1">
      <c r="A1272" t="s">
        <v>1332</v>
      </c>
      <c r="B1272">
        <v>11</v>
      </c>
      <c r="C1272" t="s">
        <v>1343</v>
      </c>
    </row>
    <row r="1273" spans="1:3" ht="14.25" customHeight="1">
      <c r="A1273" t="s">
        <v>1332</v>
      </c>
      <c r="B1273">
        <v>12</v>
      </c>
      <c r="C1273" t="s">
        <v>1344</v>
      </c>
    </row>
    <row r="1274" spans="1:3" ht="14.25" customHeight="1">
      <c r="A1274" t="s">
        <v>1332</v>
      </c>
      <c r="B1274">
        <v>13</v>
      </c>
      <c r="C1274" t="s">
        <v>1345</v>
      </c>
    </row>
    <row r="1275" spans="1:3" ht="14.25" customHeight="1">
      <c r="A1275" t="s">
        <v>1332</v>
      </c>
      <c r="B1275">
        <v>14</v>
      </c>
      <c r="C1275" t="s">
        <v>1346</v>
      </c>
    </row>
    <row r="1276" spans="1:3" ht="14.25" customHeight="1">
      <c r="A1276" t="s">
        <v>1332</v>
      </c>
      <c r="B1276">
        <v>15</v>
      </c>
      <c r="C1276" t="s">
        <v>1347</v>
      </c>
    </row>
    <row r="1277" spans="1:3" ht="14.25" customHeight="1">
      <c r="A1277" t="s">
        <v>1332</v>
      </c>
      <c r="B1277">
        <v>16</v>
      </c>
      <c r="C1277" t="s">
        <v>1348</v>
      </c>
    </row>
    <row r="1278" spans="1:3" ht="14.25" customHeight="1">
      <c r="A1278" t="s">
        <v>1349</v>
      </c>
      <c r="B1278">
        <v>1</v>
      </c>
      <c r="C1278" t="s">
        <v>1350</v>
      </c>
    </row>
    <row r="1279" spans="1:3" ht="14.25" customHeight="1">
      <c r="A1279" t="s">
        <v>1349</v>
      </c>
      <c r="B1279">
        <v>2</v>
      </c>
      <c r="C1279" t="s">
        <v>1351</v>
      </c>
    </row>
    <row r="1280" spans="1:3" ht="14.25" customHeight="1">
      <c r="A1280" t="s">
        <v>1349</v>
      </c>
      <c r="B1280">
        <v>3</v>
      </c>
      <c r="C1280" t="s">
        <v>1352</v>
      </c>
    </row>
    <row r="1281" spans="1:3" ht="14.25" customHeight="1">
      <c r="A1281" t="s">
        <v>1349</v>
      </c>
      <c r="B1281">
        <v>4</v>
      </c>
      <c r="C1281" t="s">
        <v>1353</v>
      </c>
    </row>
    <row r="1282" spans="1:3" ht="14.25" customHeight="1">
      <c r="A1282" t="s">
        <v>1349</v>
      </c>
      <c r="B1282">
        <v>5</v>
      </c>
      <c r="C1282" t="s">
        <v>1354</v>
      </c>
    </row>
    <row r="1283" spans="1:3" ht="14.25" customHeight="1">
      <c r="A1283" t="s">
        <v>1349</v>
      </c>
      <c r="B1283">
        <v>6</v>
      </c>
      <c r="C1283" t="s">
        <v>1355</v>
      </c>
    </row>
    <row r="1284" spans="1:3" ht="14.25" customHeight="1">
      <c r="A1284" t="s">
        <v>1349</v>
      </c>
      <c r="B1284">
        <v>7</v>
      </c>
      <c r="C1284" t="s">
        <v>1356</v>
      </c>
    </row>
    <row r="1285" spans="1:3" ht="14.25" customHeight="1">
      <c r="A1285" t="s">
        <v>1349</v>
      </c>
      <c r="B1285">
        <v>8</v>
      </c>
      <c r="C1285" t="s">
        <v>1357</v>
      </c>
    </row>
    <row r="1286" spans="1:3" ht="14.25" customHeight="1">
      <c r="A1286" t="s">
        <v>1349</v>
      </c>
      <c r="B1286">
        <v>9</v>
      </c>
      <c r="C1286" t="s">
        <v>1358</v>
      </c>
    </row>
    <row r="1287" spans="1:3" ht="14.25" customHeight="1">
      <c r="A1287" t="s">
        <v>1349</v>
      </c>
      <c r="B1287">
        <v>10</v>
      </c>
      <c r="C1287" t="s">
        <v>1359</v>
      </c>
    </row>
    <row r="1288" spans="1:3" ht="14.25" customHeight="1">
      <c r="A1288" t="s">
        <v>1349</v>
      </c>
      <c r="B1288">
        <v>11</v>
      </c>
      <c r="C1288" t="s">
        <v>1360</v>
      </c>
    </row>
    <row r="1289" spans="1:3" ht="14.25" customHeight="1">
      <c r="A1289" t="s">
        <v>1349</v>
      </c>
      <c r="B1289">
        <v>12</v>
      </c>
      <c r="C1289" t="s">
        <v>1361</v>
      </c>
    </row>
    <row r="1290" spans="1:3" ht="14.25" customHeight="1">
      <c r="A1290" t="s">
        <v>1349</v>
      </c>
      <c r="B1290">
        <v>13</v>
      </c>
      <c r="C1290" t="s">
        <v>1362</v>
      </c>
    </row>
    <row r="1291" spans="1:3" ht="14.25" customHeight="1">
      <c r="A1291" t="s">
        <v>1349</v>
      </c>
      <c r="B1291">
        <v>14</v>
      </c>
      <c r="C1291" t="s">
        <v>1363</v>
      </c>
    </row>
    <row r="1292" spans="1:3" ht="14.25" customHeight="1">
      <c r="A1292" t="s">
        <v>1349</v>
      </c>
      <c r="B1292">
        <v>15</v>
      </c>
      <c r="C1292" t="s">
        <v>1364</v>
      </c>
    </row>
    <row r="1293" spans="1:3" ht="14.25" customHeight="1">
      <c r="A1293" t="s">
        <v>1349</v>
      </c>
      <c r="B1293">
        <v>16</v>
      </c>
      <c r="C1293" t="s">
        <v>1365</v>
      </c>
    </row>
    <row r="1294" spans="1:3" ht="14.25" customHeight="1">
      <c r="A1294" t="s">
        <v>1349</v>
      </c>
      <c r="B1294">
        <v>17</v>
      </c>
      <c r="C1294" t="s">
        <v>1366</v>
      </c>
    </row>
    <row r="1295" spans="1:3" ht="14.25" customHeight="1">
      <c r="A1295" t="s">
        <v>1349</v>
      </c>
      <c r="B1295">
        <v>18</v>
      </c>
      <c r="C1295" t="s">
        <v>1367</v>
      </c>
    </row>
    <row r="1296" spans="1:3" ht="14.25" customHeight="1">
      <c r="A1296" t="s">
        <v>1349</v>
      </c>
      <c r="B1296">
        <v>19</v>
      </c>
      <c r="C1296" t="s">
        <v>1368</v>
      </c>
    </row>
    <row r="1297" spans="1:3" ht="14.25" customHeight="1">
      <c r="A1297" t="s">
        <v>1349</v>
      </c>
      <c r="B1297">
        <v>20</v>
      </c>
      <c r="C1297" t="s">
        <v>1369</v>
      </c>
    </row>
    <row r="1298" spans="1:3" ht="14.25" customHeight="1">
      <c r="A1298" t="s">
        <v>1349</v>
      </c>
      <c r="B1298">
        <v>21</v>
      </c>
      <c r="C1298" t="s">
        <v>1370</v>
      </c>
    </row>
    <row r="1299" spans="1:3" ht="14.25" customHeight="1">
      <c r="A1299" t="s">
        <v>1349</v>
      </c>
      <c r="B1299">
        <v>22</v>
      </c>
      <c r="C1299" t="s">
        <v>1371</v>
      </c>
    </row>
    <row r="1300" spans="1:3" ht="14.25" customHeight="1">
      <c r="A1300" t="s">
        <v>1349</v>
      </c>
      <c r="B1300">
        <v>23</v>
      </c>
      <c r="C1300" t="s">
        <v>1372</v>
      </c>
    </row>
    <row r="1301" spans="1:3" ht="14.25" customHeight="1">
      <c r="A1301" t="s">
        <v>1349</v>
      </c>
      <c r="B1301">
        <v>24</v>
      </c>
      <c r="C1301" t="s">
        <v>1373</v>
      </c>
    </row>
    <row r="1302" spans="1:3" ht="14.25" customHeight="1">
      <c r="A1302" t="s">
        <v>1349</v>
      </c>
      <c r="B1302">
        <v>25</v>
      </c>
      <c r="C1302" t="s">
        <v>1374</v>
      </c>
    </row>
    <row r="1303" spans="1:3" ht="14.25" customHeight="1">
      <c r="A1303" t="s">
        <v>1349</v>
      </c>
      <c r="B1303">
        <v>26</v>
      </c>
      <c r="C1303" t="s">
        <v>1375</v>
      </c>
    </row>
    <row r="1304" spans="1:3" ht="14.25" customHeight="1">
      <c r="A1304" t="s">
        <v>1349</v>
      </c>
      <c r="B1304">
        <v>27</v>
      </c>
      <c r="C1304" t="s">
        <v>1376</v>
      </c>
    </row>
    <row r="1305" spans="1:3" ht="14.25" customHeight="1">
      <c r="A1305" t="s">
        <v>1349</v>
      </c>
      <c r="B1305">
        <v>28</v>
      </c>
      <c r="C1305" t="s">
        <v>1377</v>
      </c>
    </row>
    <row r="1306" spans="1:3" ht="14.25" customHeight="1">
      <c r="A1306" t="s">
        <v>1349</v>
      </c>
      <c r="B1306">
        <v>29</v>
      </c>
      <c r="C1306" t="s">
        <v>1378</v>
      </c>
    </row>
    <row r="1307" spans="1:3" ht="14.25" customHeight="1">
      <c r="A1307" t="s">
        <v>1349</v>
      </c>
      <c r="B1307">
        <v>30</v>
      </c>
      <c r="C1307" t="s">
        <v>1379</v>
      </c>
    </row>
    <row r="1308" spans="1:3" ht="14.25" customHeight="1">
      <c r="A1308" t="s">
        <v>1349</v>
      </c>
      <c r="B1308">
        <v>31</v>
      </c>
      <c r="C1308" t="s">
        <v>1380</v>
      </c>
    </row>
    <row r="1309" spans="1:3" ht="14.25" customHeight="1">
      <c r="A1309" t="s">
        <v>1349</v>
      </c>
      <c r="B1309">
        <v>32</v>
      </c>
      <c r="C1309" t="s">
        <v>1381</v>
      </c>
    </row>
    <row r="1310" spans="1:3" ht="14.25" customHeight="1">
      <c r="A1310" t="s">
        <v>1349</v>
      </c>
      <c r="B1310">
        <v>33</v>
      </c>
      <c r="C1310" t="s">
        <v>1382</v>
      </c>
    </row>
    <row r="1311" spans="1:3" ht="14.25" customHeight="1">
      <c r="A1311" t="s">
        <v>1349</v>
      </c>
      <c r="B1311">
        <v>34</v>
      </c>
      <c r="C1311" t="s">
        <v>1383</v>
      </c>
    </row>
    <row r="1312" spans="1:3" ht="14.25" customHeight="1">
      <c r="A1312" t="s">
        <v>1349</v>
      </c>
      <c r="B1312">
        <v>35</v>
      </c>
      <c r="C1312" t="s">
        <v>1384</v>
      </c>
    </row>
    <row r="1313" spans="1:3" ht="14.25" customHeight="1">
      <c r="A1313" t="s">
        <v>1349</v>
      </c>
      <c r="B1313">
        <v>36</v>
      </c>
      <c r="C1313" t="s">
        <v>1385</v>
      </c>
    </row>
    <row r="1314" spans="1:3" ht="14.25" customHeight="1">
      <c r="A1314" t="s">
        <v>1349</v>
      </c>
      <c r="B1314">
        <v>37</v>
      </c>
      <c r="C1314" t="s">
        <v>1386</v>
      </c>
    </row>
    <row r="1315" spans="1:3" ht="14.25" customHeight="1">
      <c r="A1315" t="s">
        <v>1349</v>
      </c>
      <c r="B1315">
        <v>38</v>
      </c>
      <c r="C1315" t="s">
        <v>1387</v>
      </c>
    </row>
    <row r="1316" spans="1:3" ht="14.25" customHeight="1">
      <c r="A1316" t="s">
        <v>1349</v>
      </c>
      <c r="B1316">
        <v>39</v>
      </c>
      <c r="C1316" t="s">
        <v>1388</v>
      </c>
    </row>
    <row r="1317" spans="1:3" ht="14.25" customHeight="1">
      <c r="A1317" t="s">
        <v>1349</v>
      </c>
      <c r="B1317">
        <v>40</v>
      </c>
      <c r="C1317" t="s">
        <v>1389</v>
      </c>
    </row>
    <row r="1318" spans="1:3" ht="14.25" customHeight="1">
      <c r="A1318" t="s">
        <v>1349</v>
      </c>
      <c r="B1318">
        <v>41</v>
      </c>
      <c r="C1318" t="s">
        <v>1390</v>
      </c>
    </row>
    <row r="1319" spans="1:3" ht="14.25" customHeight="1">
      <c r="A1319" t="s">
        <v>1349</v>
      </c>
      <c r="B1319">
        <v>42</v>
      </c>
      <c r="C1319" t="s">
        <v>1391</v>
      </c>
    </row>
    <row r="1320" spans="1:3" ht="14.25" customHeight="1">
      <c r="A1320" t="s">
        <v>1349</v>
      </c>
      <c r="B1320">
        <v>43</v>
      </c>
      <c r="C1320" t="s">
        <v>1392</v>
      </c>
    </row>
    <row r="1321" spans="1:3" ht="14.25" customHeight="1">
      <c r="A1321" t="s">
        <v>1349</v>
      </c>
      <c r="B1321">
        <v>44</v>
      </c>
      <c r="C1321" t="s">
        <v>1393</v>
      </c>
    </row>
    <row r="1322" spans="1:3" ht="14.25" customHeight="1">
      <c r="A1322" t="s">
        <v>1349</v>
      </c>
      <c r="B1322">
        <v>45</v>
      </c>
      <c r="C1322" t="s">
        <v>1394</v>
      </c>
    </row>
    <row r="1323" spans="1:3" ht="14.25" customHeight="1">
      <c r="A1323" t="s">
        <v>1349</v>
      </c>
      <c r="B1323">
        <v>46</v>
      </c>
      <c r="C1323" t="s">
        <v>1395</v>
      </c>
    </row>
    <row r="1324" spans="1:3" ht="14.25" customHeight="1">
      <c r="A1324" t="s">
        <v>1349</v>
      </c>
      <c r="B1324">
        <v>47</v>
      </c>
      <c r="C1324" t="s">
        <v>1396</v>
      </c>
    </row>
    <row r="1325" spans="1:3" ht="14.25" customHeight="1">
      <c r="A1325" t="s">
        <v>1349</v>
      </c>
      <c r="B1325">
        <v>48</v>
      </c>
      <c r="C1325" t="s">
        <v>1397</v>
      </c>
    </row>
    <row r="1326" spans="1:3" ht="14.25" customHeight="1">
      <c r="A1326" t="s">
        <v>1349</v>
      </c>
      <c r="B1326">
        <v>49</v>
      </c>
      <c r="C1326" t="s">
        <v>1398</v>
      </c>
    </row>
    <row r="1327" spans="1:3" ht="14.25" customHeight="1">
      <c r="A1327" t="s">
        <v>1349</v>
      </c>
      <c r="B1327">
        <v>50</v>
      </c>
      <c r="C1327" t="s">
        <v>1399</v>
      </c>
    </row>
    <row r="1328" spans="1:3" ht="14.25" customHeight="1">
      <c r="A1328" t="s">
        <v>1349</v>
      </c>
      <c r="B1328">
        <v>51</v>
      </c>
      <c r="C1328" t="s">
        <v>1400</v>
      </c>
    </row>
    <row r="1329" spans="1:3" ht="14.25" customHeight="1">
      <c r="A1329" t="s">
        <v>1349</v>
      </c>
      <c r="B1329">
        <v>52</v>
      </c>
      <c r="C1329" t="s">
        <v>1401</v>
      </c>
    </row>
    <row r="1330" spans="1:3" ht="14.25" customHeight="1">
      <c r="A1330" t="s">
        <v>1349</v>
      </c>
      <c r="B1330">
        <v>53</v>
      </c>
      <c r="C1330" t="s">
        <v>1402</v>
      </c>
    </row>
    <row r="1331" spans="1:3" ht="14.25" customHeight="1">
      <c r="A1331" t="s">
        <v>1349</v>
      </c>
      <c r="B1331">
        <v>54</v>
      </c>
      <c r="C1331" t="s">
        <v>1403</v>
      </c>
    </row>
    <row r="1332" spans="1:3" ht="14.25" customHeight="1">
      <c r="A1332" t="s">
        <v>1349</v>
      </c>
      <c r="B1332">
        <v>55</v>
      </c>
      <c r="C1332" t="s">
        <v>1404</v>
      </c>
    </row>
    <row r="1333" spans="1:3" ht="14.25" customHeight="1">
      <c r="A1333" t="s">
        <v>1349</v>
      </c>
      <c r="B1333">
        <v>56</v>
      </c>
      <c r="C1333" t="s">
        <v>1405</v>
      </c>
    </row>
    <row r="1334" spans="1:3" ht="14.25" customHeight="1">
      <c r="A1334" t="s">
        <v>1349</v>
      </c>
      <c r="B1334">
        <v>57</v>
      </c>
      <c r="C1334" t="s">
        <v>1406</v>
      </c>
    </row>
    <row r="1335" spans="1:3" ht="14.25" customHeight="1">
      <c r="A1335" t="s">
        <v>1349</v>
      </c>
      <c r="B1335">
        <v>58</v>
      </c>
      <c r="C1335" t="s">
        <v>1407</v>
      </c>
    </row>
    <row r="1336" spans="1:3" ht="14.25" customHeight="1">
      <c r="A1336" t="s">
        <v>1349</v>
      </c>
      <c r="B1336">
        <v>59</v>
      </c>
      <c r="C1336" t="s">
        <v>1408</v>
      </c>
    </row>
    <row r="1337" spans="1:3" ht="14.25" customHeight="1">
      <c r="A1337" t="s">
        <v>1349</v>
      </c>
      <c r="B1337">
        <v>60</v>
      </c>
      <c r="C1337" t="s">
        <v>1409</v>
      </c>
    </row>
    <row r="1338" spans="1:3" ht="14.25" customHeight="1">
      <c r="A1338" t="s">
        <v>1349</v>
      </c>
      <c r="B1338">
        <v>61</v>
      </c>
      <c r="C1338" t="s">
        <v>1410</v>
      </c>
    </row>
    <row r="1339" spans="1:3" ht="14.25" customHeight="1">
      <c r="A1339" t="s">
        <v>1349</v>
      </c>
      <c r="B1339">
        <v>62</v>
      </c>
      <c r="C1339" t="s">
        <v>1411</v>
      </c>
    </row>
    <row r="1340" spans="1:3" ht="14.25" customHeight="1">
      <c r="A1340" t="s">
        <v>1349</v>
      </c>
      <c r="B1340">
        <v>63</v>
      </c>
      <c r="C1340" t="s">
        <v>1412</v>
      </c>
    </row>
    <row r="1341" spans="1:3" ht="14.25" customHeight="1">
      <c r="A1341" t="s">
        <v>1349</v>
      </c>
      <c r="B1341">
        <v>64</v>
      </c>
      <c r="C1341" t="s">
        <v>1413</v>
      </c>
    </row>
    <row r="1342" spans="1:3" ht="14.25" customHeight="1">
      <c r="A1342" t="s">
        <v>1349</v>
      </c>
      <c r="B1342">
        <v>65</v>
      </c>
      <c r="C1342" t="s">
        <v>1414</v>
      </c>
    </row>
    <row r="1343" spans="1:3" ht="14.25" customHeight="1">
      <c r="A1343" t="s">
        <v>1349</v>
      </c>
      <c r="B1343">
        <v>66</v>
      </c>
      <c r="C1343" t="s">
        <v>1415</v>
      </c>
    </row>
    <row r="1344" spans="1:3" ht="14.25" customHeight="1">
      <c r="A1344" t="s">
        <v>1349</v>
      </c>
      <c r="B1344">
        <v>67</v>
      </c>
      <c r="C1344" t="s">
        <v>1416</v>
      </c>
    </row>
    <row r="1345" spans="1:3" ht="14.25" customHeight="1">
      <c r="A1345" t="s">
        <v>1349</v>
      </c>
      <c r="B1345">
        <v>68</v>
      </c>
      <c r="C1345" t="s">
        <v>1417</v>
      </c>
    </row>
    <row r="1346" spans="1:3" ht="14.25" customHeight="1">
      <c r="A1346" t="s">
        <v>1349</v>
      </c>
      <c r="B1346">
        <v>69</v>
      </c>
      <c r="C1346" t="s">
        <v>1418</v>
      </c>
    </row>
    <row r="1347" spans="1:3" ht="14.25" customHeight="1">
      <c r="A1347" t="s">
        <v>1349</v>
      </c>
      <c r="B1347">
        <v>70</v>
      </c>
      <c r="C1347" t="s">
        <v>1419</v>
      </c>
    </row>
    <row r="1348" spans="1:3" ht="14.25" customHeight="1">
      <c r="A1348" t="s">
        <v>1349</v>
      </c>
      <c r="B1348">
        <v>71</v>
      </c>
      <c r="C1348" t="s">
        <v>1420</v>
      </c>
    </row>
    <row r="1349" spans="1:3" ht="14.25" customHeight="1">
      <c r="A1349" t="s">
        <v>1349</v>
      </c>
      <c r="B1349">
        <v>72</v>
      </c>
      <c r="C1349" t="s">
        <v>1421</v>
      </c>
    </row>
    <row r="1350" spans="1:3" ht="14.25" customHeight="1">
      <c r="A1350" t="s">
        <v>1349</v>
      </c>
      <c r="B1350">
        <v>73</v>
      </c>
      <c r="C1350" t="s">
        <v>1422</v>
      </c>
    </row>
    <row r="1351" spans="1:3" ht="14.25" customHeight="1">
      <c r="A1351" t="s">
        <v>1349</v>
      </c>
      <c r="B1351">
        <v>74</v>
      </c>
      <c r="C1351" t="s">
        <v>1423</v>
      </c>
    </row>
    <row r="1352" spans="1:3" ht="14.25" customHeight="1">
      <c r="A1352" t="s">
        <v>1349</v>
      </c>
      <c r="B1352">
        <v>75</v>
      </c>
      <c r="C1352" t="s">
        <v>1424</v>
      </c>
    </row>
    <row r="1353" spans="1:3" ht="14.25" customHeight="1">
      <c r="A1353" t="s">
        <v>1349</v>
      </c>
      <c r="B1353">
        <v>76</v>
      </c>
      <c r="C1353" t="s">
        <v>1425</v>
      </c>
    </row>
    <row r="1354" spans="1:3" ht="14.25" customHeight="1">
      <c r="A1354" t="s">
        <v>1349</v>
      </c>
      <c r="B1354">
        <v>77</v>
      </c>
      <c r="C1354" t="s">
        <v>1426</v>
      </c>
    </row>
    <row r="1355" spans="1:3" ht="14.25" customHeight="1">
      <c r="A1355" t="s">
        <v>1349</v>
      </c>
      <c r="B1355">
        <v>78</v>
      </c>
      <c r="C1355" t="s">
        <v>1427</v>
      </c>
    </row>
    <row r="1356" spans="1:3" ht="14.25" customHeight="1">
      <c r="A1356" t="s">
        <v>1349</v>
      </c>
      <c r="B1356">
        <v>79</v>
      </c>
      <c r="C1356" t="s">
        <v>1428</v>
      </c>
    </row>
    <row r="1357" spans="1:3" ht="14.25" customHeight="1">
      <c r="A1357" t="s">
        <v>1349</v>
      </c>
      <c r="B1357">
        <v>80</v>
      </c>
      <c r="C1357" t="s">
        <v>735</v>
      </c>
    </row>
    <row r="1358" spans="1:3" ht="14.25" customHeight="1">
      <c r="A1358" t="s">
        <v>1349</v>
      </c>
      <c r="B1358">
        <v>81</v>
      </c>
      <c r="C1358" t="s">
        <v>1429</v>
      </c>
    </row>
    <row r="1359" spans="1:3" ht="14.25" customHeight="1">
      <c r="A1359" t="s">
        <v>1349</v>
      </c>
      <c r="B1359">
        <v>82</v>
      </c>
      <c r="C1359" t="s">
        <v>1430</v>
      </c>
    </row>
    <row r="1360" spans="1:3" ht="14.25" customHeight="1">
      <c r="A1360" t="s">
        <v>1349</v>
      </c>
      <c r="B1360">
        <v>83</v>
      </c>
      <c r="C1360" t="s">
        <v>1431</v>
      </c>
    </row>
    <row r="1361" spans="1:3" ht="14.25" customHeight="1">
      <c r="A1361" t="s">
        <v>1349</v>
      </c>
      <c r="B1361">
        <v>84</v>
      </c>
      <c r="C1361" t="s">
        <v>1432</v>
      </c>
    </row>
    <row r="1362" spans="1:3" ht="14.25" customHeight="1">
      <c r="A1362" t="s">
        <v>1349</v>
      </c>
      <c r="B1362">
        <v>85</v>
      </c>
      <c r="C1362" t="s">
        <v>1433</v>
      </c>
    </row>
    <row r="1363" spans="1:3" ht="14.25" customHeight="1">
      <c r="A1363" t="s">
        <v>1349</v>
      </c>
      <c r="B1363">
        <v>86</v>
      </c>
      <c r="C1363" t="s">
        <v>1434</v>
      </c>
    </row>
    <row r="1364" spans="1:3" ht="14.25" customHeight="1">
      <c r="A1364" t="s">
        <v>1349</v>
      </c>
      <c r="B1364">
        <v>87</v>
      </c>
      <c r="C1364" t="s">
        <v>1435</v>
      </c>
    </row>
    <row r="1365" spans="1:3" ht="14.25" customHeight="1">
      <c r="A1365" t="s">
        <v>1349</v>
      </c>
      <c r="B1365">
        <v>88</v>
      </c>
      <c r="C1365" t="s">
        <v>1436</v>
      </c>
    </row>
    <row r="1366" spans="1:3" ht="14.25" customHeight="1">
      <c r="A1366" t="s">
        <v>1349</v>
      </c>
      <c r="B1366">
        <v>89</v>
      </c>
      <c r="C1366" t="s">
        <v>1437</v>
      </c>
    </row>
    <row r="1367" spans="1:3" ht="14.25" customHeight="1">
      <c r="A1367" t="s">
        <v>1349</v>
      </c>
      <c r="B1367">
        <v>90</v>
      </c>
      <c r="C1367" t="s">
        <v>1438</v>
      </c>
    </row>
    <row r="1368" spans="1:3" ht="14.25" customHeight="1">
      <c r="A1368" t="s">
        <v>1349</v>
      </c>
      <c r="B1368">
        <v>91</v>
      </c>
      <c r="C1368" t="s">
        <v>1439</v>
      </c>
    </row>
    <row r="1369" spans="1:3" ht="14.25" customHeight="1">
      <c r="A1369" t="s">
        <v>1349</v>
      </c>
      <c r="B1369">
        <v>92</v>
      </c>
      <c r="C1369" t="s">
        <v>1440</v>
      </c>
    </row>
    <row r="1370" spans="1:3" ht="14.25" customHeight="1">
      <c r="A1370" t="s">
        <v>1349</v>
      </c>
      <c r="B1370">
        <v>93</v>
      </c>
      <c r="C1370" t="s">
        <v>1441</v>
      </c>
    </row>
    <row r="1371" spans="1:3" ht="14.25" customHeight="1">
      <c r="A1371" t="s">
        <v>1349</v>
      </c>
      <c r="B1371">
        <v>94</v>
      </c>
      <c r="C1371" t="s">
        <v>1442</v>
      </c>
    </row>
    <row r="1372" spans="1:3" ht="14.25" customHeight="1">
      <c r="A1372" t="s">
        <v>1349</v>
      </c>
      <c r="B1372">
        <v>95</v>
      </c>
      <c r="C1372" t="s">
        <v>1443</v>
      </c>
    </row>
    <row r="1373" spans="1:3" ht="14.25" customHeight="1">
      <c r="A1373" t="s">
        <v>1349</v>
      </c>
      <c r="B1373">
        <v>96</v>
      </c>
      <c r="C1373" t="s">
        <v>1444</v>
      </c>
    </row>
    <row r="1374" spans="1:3" ht="14.25" customHeight="1">
      <c r="A1374" t="s">
        <v>1349</v>
      </c>
      <c r="B1374">
        <v>97</v>
      </c>
      <c r="C1374" t="s">
        <v>1445</v>
      </c>
    </row>
    <row r="1375" spans="1:3" ht="14.25" customHeight="1">
      <c r="A1375" t="s">
        <v>1349</v>
      </c>
      <c r="B1375">
        <v>98</v>
      </c>
      <c r="C1375" t="s">
        <v>1446</v>
      </c>
    </row>
    <row r="1376" spans="1:3" ht="14.25" customHeight="1">
      <c r="A1376" t="s">
        <v>1349</v>
      </c>
      <c r="B1376">
        <v>99</v>
      </c>
      <c r="C1376" t="s">
        <v>1447</v>
      </c>
    </row>
    <row r="1377" spans="1:3" ht="14.25" customHeight="1">
      <c r="A1377" t="s">
        <v>1349</v>
      </c>
      <c r="B1377">
        <v>100</v>
      </c>
      <c r="C1377" t="s">
        <v>1448</v>
      </c>
    </row>
    <row r="1378" spans="1:3" ht="14.25" customHeight="1">
      <c r="A1378" t="s">
        <v>1349</v>
      </c>
      <c r="B1378">
        <v>101</v>
      </c>
      <c r="C1378" t="s">
        <v>1449</v>
      </c>
    </row>
    <row r="1379" spans="1:3" ht="14.25" customHeight="1">
      <c r="A1379" t="s">
        <v>1349</v>
      </c>
      <c r="B1379">
        <v>102</v>
      </c>
      <c r="C1379" t="s">
        <v>1450</v>
      </c>
    </row>
    <row r="1380" spans="1:3" ht="14.25" customHeight="1">
      <c r="A1380" t="s">
        <v>1349</v>
      </c>
      <c r="B1380">
        <v>103</v>
      </c>
      <c r="C1380" t="s">
        <v>1451</v>
      </c>
    </row>
    <row r="1381" spans="1:3" ht="14.25" customHeight="1">
      <c r="A1381" t="s">
        <v>1349</v>
      </c>
      <c r="B1381">
        <v>104</v>
      </c>
      <c r="C1381" t="s">
        <v>1452</v>
      </c>
    </row>
    <row r="1382" spans="1:3" ht="14.25" customHeight="1">
      <c r="A1382" t="s">
        <v>1349</v>
      </c>
      <c r="B1382">
        <v>105</v>
      </c>
      <c r="C1382" t="s">
        <v>1453</v>
      </c>
    </row>
    <row r="1383" spans="1:3" ht="14.25" customHeight="1">
      <c r="A1383" t="s">
        <v>1349</v>
      </c>
      <c r="B1383">
        <v>106</v>
      </c>
      <c r="C1383" t="s">
        <v>1454</v>
      </c>
    </row>
    <row r="1384" spans="1:3" ht="14.25" customHeight="1">
      <c r="A1384" t="s">
        <v>1349</v>
      </c>
      <c r="B1384">
        <v>107</v>
      </c>
      <c r="C1384" t="s">
        <v>1455</v>
      </c>
    </row>
    <row r="1385" spans="1:3" ht="14.25" customHeight="1">
      <c r="A1385" t="s">
        <v>1349</v>
      </c>
      <c r="B1385">
        <v>108</v>
      </c>
      <c r="C1385" t="s">
        <v>1456</v>
      </c>
    </row>
    <row r="1386" spans="1:3" ht="14.25" customHeight="1">
      <c r="A1386" t="s">
        <v>1349</v>
      </c>
      <c r="B1386">
        <v>109</v>
      </c>
      <c r="C1386" t="s">
        <v>1457</v>
      </c>
    </row>
    <row r="1387" spans="1:3" ht="14.25" customHeight="1">
      <c r="A1387" t="s">
        <v>1349</v>
      </c>
      <c r="B1387">
        <v>110</v>
      </c>
      <c r="C1387" t="s">
        <v>1458</v>
      </c>
    </row>
    <row r="1388" spans="1:3" ht="14.25" customHeight="1">
      <c r="A1388" t="s">
        <v>1349</v>
      </c>
      <c r="B1388">
        <v>111</v>
      </c>
      <c r="C1388" t="s">
        <v>1459</v>
      </c>
    </row>
    <row r="1389" spans="1:3" ht="14.25" customHeight="1">
      <c r="A1389" t="s">
        <v>1349</v>
      </c>
      <c r="B1389">
        <v>112</v>
      </c>
      <c r="C1389" t="s">
        <v>1460</v>
      </c>
    </row>
    <row r="1390" spans="1:3" ht="14.25" customHeight="1">
      <c r="A1390" t="s">
        <v>1349</v>
      </c>
      <c r="B1390">
        <v>113</v>
      </c>
      <c r="C1390" t="s">
        <v>1461</v>
      </c>
    </row>
    <row r="1391" spans="1:3" ht="14.25" customHeight="1">
      <c r="A1391" t="s">
        <v>1349</v>
      </c>
      <c r="B1391">
        <v>114</v>
      </c>
      <c r="C1391" t="s">
        <v>1462</v>
      </c>
    </row>
    <row r="1392" spans="1:3" ht="14.25" customHeight="1">
      <c r="A1392" t="s">
        <v>1349</v>
      </c>
      <c r="B1392">
        <v>115</v>
      </c>
      <c r="C1392" t="s">
        <v>1463</v>
      </c>
    </row>
    <row r="1393" spans="1:3" ht="14.25" customHeight="1">
      <c r="A1393" t="s">
        <v>1349</v>
      </c>
      <c r="B1393">
        <v>116</v>
      </c>
      <c r="C1393" t="s">
        <v>1464</v>
      </c>
    </row>
    <row r="1394" spans="1:3" ht="14.25" customHeight="1">
      <c r="A1394" t="s">
        <v>1349</v>
      </c>
      <c r="B1394">
        <v>117</v>
      </c>
      <c r="C1394" t="s">
        <v>1465</v>
      </c>
    </row>
    <row r="1395" spans="1:3" ht="14.25" customHeight="1">
      <c r="A1395" t="s">
        <v>1349</v>
      </c>
      <c r="B1395">
        <v>118</v>
      </c>
      <c r="C1395" t="s">
        <v>1466</v>
      </c>
    </row>
    <row r="1396" spans="1:3" ht="14.25" customHeight="1">
      <c r="A1396" t="s">
        <v>1349</v>
      </c>
      <c r="B1396">
        <v>119</v>
      </c>
      <c r="C1396" t="s">
        <v>1467</v>
      </c>
    </row>
    <row r="1397" spans="1:3" ht="14.25" customHeight="1">
      <c r="A1397" t="s">
        <v>1349</v>
      </c>
      <c r="B1397">
        <v>120</v>
      </c>
      <c r="C1397" t="s">
        <v>1468</v>
      </c>
    </row>
    <row r="1398" spans="1:3" ht="14.25" customHeight="1">
      <c r="A1398" t="s">
        <v>1469</v>
      </c>
      <c r="B1398">
        <v>1</v>
      </c>
      <c r="C1398" t="s">
        <v>1470</v>
      </c>
    </row>
    <row r="1399" spans="1:3" ht="14.25" customHeight="1">
      <c r="A1399" t="s">
        <v>1469</v>
      </c>
      <c r="B1399">
        <v>2</v>
      </c>
      <c r="C1399" t="s">
        <v>1471</v>
      </c>
    </row>
    <row r="1400" spans="1:3" ht="14.25" customHeight="1">
      <c r="A1400" t="s">
        <v>1469</v>
      </c>
      <c r="B1400">
        <v>3</v>
      </c>
      <c r="C1400" t="s">
        <v>1472</v>
      </c>
    </row>
    <row r="1401" spans="1:3" ht="14.25" customHeight="1">
      <c r="A1401" t="s">
        <v>1469</v>
      </c>
      <c r="B1401">
        <v>4</v>
      </c>
      <c r="C1401" t="s">
        <v>1473</v>
      </c>
    </row>
    <row r="1402" spans="1:3" ht="14.25" customHeight="1">
      <c r="A1402" t="s">
        <v>1469</v>
      </c>
      <c r="B1402">
        <v>5</v>
      </c>
      <c r="C1402" t="s">
        <v>1474</v>
      </c>
    </row>
    <row r="1403" spans="1:3" ht="14.25" customHeight="1">
      <c r="A1403" t="s">
        <v>1469</v>
      </c>
      <c r="B1403">
        <v>6</v>
      </c>
      <c r="C1403" t="s">
        <v>1475</v>
      </c>
    </row>
    <row r="1404" spans="1:3" ht="14.25" customHeight="1">
      <c r="A1404" t="s">
        <v>1469</v>
      </c>
      <c r="B1404">
        <v>7</v>
      </c>
      <c r="C1404" t="s">
        <v>1476</v>
      </c>
    </row>
    <row r="1405" spans="1:3" ht="14.25" customHeight="1">
      <c r="A1405" t="s">
        <v>1469</v>
      </c>
      <c r="B1405">
        <v>8</v>
      </c>
      <c r="C1405" t="s">
        <v>1477</v>
      </c>
    </row>
    <row r="1406" spans="1:3" ht="14.25" customHeight="1">
      <c r="A1406" t="s">
        <v>1469</v>
      </c>
      <c r="B1406">
        <v>9</v>
      </c>
      <c r="C1406" t="s">
        <v>1478</v>
      </c>
    </row>
    <row r="1407" spans="1:3" ht="14.25" customHeight="1">
      <c r="A1407" t="s">
        <v>1469</v>
      </c>
      <c r="B1407">
        <v>10</v>
      </c>
      <c r="C1407" t="s">
        <v>1479</v>
      </c>
    </row>
    <row r="1408" spans="1:3" ht="14.25" customHeight="1">
      <c r="A1408" t="s">
        <v>1469</v>
      </c>
      <c r="B1408">
        <v>11</v>
      </c>
      <c r="C1408" t="s">
        <v>1480</v>
      </c>
    </row>
    <row r="1409" spans="1:3" ht="14.25" customHeight="1">
      <c r="A1409" t="s">
        <v>1469</v>
      </c>
      <c r="B1409">
        <v>12</v>
      </c>
      <c r="C1409" t="s">
        <v>1481</v>
      </c>
    </row>
    <row r="1410" spans="1:3" ht="14.25" customHeight="1">
      <c r="A1410" t="s">
        <v>1469</v>
      </c>
      <c r="B1410">
        <v>13</v>
      </c>
      <c r="C1410" t="s">
        <v>1482</v>
      </c>
    </row>
    <row r="1411" spans="1:3" ht="14.25" customHeight="1">
      <c r="A1411" t="s">
        <v>1469</v>
      </c>
      <c r="B1411">
        <v>14</v>
      </c>
      <c r="C1411" t="s">
        <v>1483</v>
      </c>
    </row>
    <row r="1412" spans="1:3" ht="14.25" customHeight="1">
      <c r="A1412" t="s">
        <v>1469</v>
      </c>
      <c r="B1412">
        <v>15</v>
      </c>
      <c r="C1412" t="s">
        <v>1484</v>
      </c>
    </row>
    <row r="1413" spans="1:3" ht="14.25" customHeight="1">
      <c r="A1413" t="s">
        <v>1469</v>
      </c>
      <c r="B1413">
        <v>16</v>
      </c>
      <c r="C1413" t="s">
        <v>1485</v>
      </c>
    </row>
  </sheetData>
  <autoFilter ref="A1:C1413" xr:uid="{00000000-0009-0000-0000-000000000000}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1048576"/>
  <sheetViews>
    <sheetView rightToLeft="1" zoomScaleNormal="100" workbookViewId="0"/>
  </sheetViews>
  <sheetFormatPr defaultColWidth="12.5703125" defaultRowHeight="15" zeroHeight="1"/>
  <cols>
    <col min="1" max="1" width="29.42578125" customWidth="1"/>
    <col min="2" max="2" width="8.5703125" customWidth="1"/>
    <col min="3" max="3" width="22.85546875" customWidth="1"/>
    <col min="4" max="6" width="8.5703125" customWidth="1"/>
  </cols>
  <sheetData>
    <row r="1" spans="1:4" ht="14.25" customHeight="1">
      <c r="A1" t="s">
        <v>2</v>
      </c>
      <c r="B1" t="s">
        <v>33</v>
      </c>
      <c r="C1" t="s">
        <v>34</v>
      </c>
      <c r="D1" t="s">
        <v>1486</v>
      </c>
    </row>
    <row r="2" spans="1:4" ht="14.25" hidden="1" customHeight="1">
      <c r="A2" t="s">
        <v>36</v>
      </c>
      <c r="B2">
        <v>1</v>
      </c>
      <c r="C2" t="s">
        <v>37</v>
      </c>
      <c r="D2" t="s">
        <v>1487</v>
      </c>
    </row>
    <row r="3" spans="1:4" ht="14.25" hidden="1" customHeight="1">
      <c r="A3" t="s">
        <v>36</v>
      </c>
      <c r="B3">
        <v>2</v>
      </c>
      <c r="C3" t="s">
        <v>38</v>
      </c>
      <c r="D3" t="s">
        <v>1487</v>
      </c>
    </row>
    <row r="4" spans="1:4" ht="14.25" hidden="1" customHeight="1">
      <c r="A4" t="s">
        <v>36</v>
      </c>
      <c r="B4">
        <v>3</v>
      </c>
      <c r="C4" t="s">
        <v>39</v>
      </c>
      <c r="D4" t="s">
        <v>1488</v>
      </c>
    </row>
    <row r="5" spans="1:4" ht="14.25" hidden="1" customHeight="1">
      <c r="A5" t="s">
        <v>36</v>
      </c>
      <c r="B5">
        <v>4</v>
      </c>
      <c r="C5" t="s">
        <v>40</v>
      </c>
      <c r="D5" t="s">
        <v>1487</v>
      </c>
    </row>
    <row r="6" spans="1:4" ht="14.25" hidden="1" customHeight="1">
      <c r="A6" t="s">
        <v>36</v>
      </c>
      <c r="B6">
        <v>5</v>
      </c>
      <c r="C6" t="s">
        <v>41</v>
      </c>
      <c r="D6" t="s">
        <v>1488</v>
      </c>
    </row>
    <row r="7" spans="1:4" ht="14.25" hidden="1" customHeight="1">
      <c r="A7" t="s">
        <v>36</v>
      </c>
      <c r="B7">
        <v>6</v>
      </c>
      <c r="C7" t="s">
        <v>42</v>
      </c>
      <c r="D7" t="s">
        <v>1487</v>
      </c>
    </row>
    <row r="8" spans="1:4" ht="14.25" hidden="1" customHeight="1">
      <c r="A8" t="s">
        <v>36</v>
      </c>
      <c r="B8">
        <v>7</v>
      </c>
      <c r="C8" t="s">
        <v>43</v>
      </c>
      <c r="D8" t="s">
        <v>1488</v>
      </c>
    </row>
    <row r="9" spans="1:4" ht="14.25" hidden="1" customHeight="1">
      <c r="A9" t="s">
        <v>36</v>
      </c>
      <c r="B9">
        <v>8</v>
      </c>
      <c r="C9" t="s">
        <v>44</v>
      </c>
      <c r="D9" t="s">
        <v>1487</v>
      </c>
    </row>
    <row r="10" spans="1:4" ht="14.25" hidden="1" customHeight="1">
      <c r="A10" t="s">
        <v>36</v>
      </c>
      <c r="B10">
        <v>9</v>
      </c>
      <c r="C10" t="s">
        <v>45</v>
      </c>
      <c r="D10" t="s">
        <v>1488</v>
      </c>
    </row>
    <row r="11" spans="1:4" ht="14.25" hidden="1" customHeight="1">
      <c r="A11" t="s">
        <v>36</v>
      </c>
      <c r="B11">
        <v>10</v>
      </c>
      <c r="C11" t="s">
        <v>1489</v>
      </c>
      <c r="D11" t="s">
        <v>1487</v>
      </c>
    </row>
    <row r="12" spans="1:4" ht="14.25" hidden="1" customHeight="1">
      <c r="A12" t="s">
        <v>36</v>
      </c>
      <c r="B12">
        <v>11</v>
      </c>
      <c r="C12" t="s">
        <v>47</v>
      </c>
      <c r="D12" t="s">
        <v>1488</v>
      </c>
    </row>
    <row r="13" spans="1:4" ht="14.25" hidden="1" customHeight="1">
      <c r="A13" t="s">
        <v>36</v>
      </c>
      <c r="B13">
        <v>12</v>
      </c>
      <c r="C13" t="s">
        <v>48</v>
      </c>
      <c r="D13" t="s">
        <v>1488</v>
      </c>
    </row>
    <row r="14" spans="1:4" ht="14.25" hidden="1" customHeight="1">
      <c r="A14" t="s">
        <v>36</v>
      </c>
      <c r="B14">
        <v>13</v>
      </c>
      <c r="C14" t="s">
        <v>49</v>
      </c>
      <c r="D14" t="s">
        <v>1488</v>
      </c>
    </row>
    <row r="15" spans="1:4" ht="14.25" hidden="1" customHeight="1">
      <c r="A15" t="s">
        <v>36</v>
      </c>
      <c r="B15">
        <v>14</v>
      </c>
      <c r="C15" t="s">
        <v>50</v>
      </c>
      <c r="D15" t="s">
        <v>1487</v>
      </c>
    </row>
    <row r="16" spans="1:4" ht="14.25" hidden="1" customHeight="1">
      <c r="A16" t="s">
        <v>36</v>
      </c>
      <c r="B16">
        <v>15</v>
      </c>
      <c r="C16" t="s">
        <v>51</v>
      </c>
      <c r="D16" t="s">
        <v>1488</v>
      </c>
    </row>
    <row r="17" spans="1:4" ht="14.25" hidden="1" customHeight="1">
      <c r="A17" t="s">
        <v>36</v>
      </c>
      <c r="B17">
        <v>16</v>
      </c>
      <c r="C17" t="s">
        <v>52</v>
      </c>
      <c r="D17" t="s">
        <v>1487</v>
      </c>
    </row>
    <row r="18" spans="1:4" ht="14.25" hidden="1" customHeight="1">
      <c r="A18" t="s">
        <v>36</v>
      </c>
      <c r="B18">
        <v>17</v>
      </c>
      <c r="C18" t="s">
        <v>53</v>
      </c>
      <c r="D18" t="s">
        <v>1488</v>
      </c>
    </row>
    <row r="19" spans="1:4" ht="14.25" hidden="1" customHeight="1">
      <c r="A19" t="s">
        <v>36</v>
      </c>
      <c r="B19">
        <v>18</v>
      </c>
      <c r="C19" t="s">
        <v>54</v>
      </c>
      <c r="D19" t="s">
        <v>1487</v>
      </c>
    </row>
    <row r="20" spans="1:4" ht="14.25" hidden="1" customHeight="1">
      <c r="A20" t="s">
        <v>36</v>
      </c>
      <c r="B20">
        <v>19</v>
      </c>
      <c r="C20" t="s">
        <v>55</v>
      </c>
      <c r="D20" t="s">
        <v>1488</v>
      </c>
    </row>
    <row r="21" spans="1:4" ht="14.25" hidden="1" customHeight="1">
      <c r="A21" t="s">
        <v>36</v>
      </c>
      <c r="B21">
        <v>20</v>
      </c>
      <c r="C21" t="s">
        <v>56</v>
      </c>
      <c r="D21" t="s">
        <v>1487</v>
      </c>
    </row>
    <row r="22" spans="1:4" ht="14.25" hidden="1" customHeight="1">
      <c r="A22" t="s">
        <v>36</v>
      </c>
      <c r="B22">
        <v>21</v>
      </c>
      <c r="C22" t="s">
        <v>57</v>
      </c>
      <c r="D22" t="s">
        <v>1488</v>
      </c>
    </row>
    <row r="23" spans="1:4" ht="14.25" hidden="1" customHeight="1">
      <c r="A23" t="s">
        <v>36</v>
      </c>
      <c r="B23">
        <v>22</v>
      </c>
      <c r="C23" t="s">
        <v>58</v>
      </c>
      <c r="D23" t="s">
        <v>1487</v>
      </c>
    </row>
    <row r="24" spans="1:4" ht="14.25" hidden="1" customHeight="1">
      <c r="A24" t="s">
        <v>36</v>
      </c>
      <c r="B24">
        <v>23</v>
      </c>
      <c r="C24" t="s">
        <v>59</v>
      </c>
      <c r="D24" t="s">
        <v>1488</v>
      </c>
    </row>
    <row r="25" spans="1:4" ht="14.25" hidden="1" customHeight="1">
      <c r="A25" t="s">
        <v>36</v>
      </c>
      <c r="B25">
        <v>24</v>
      </c>
      <c r="C25" t="s">
        <v>60</v>
      </c>
      <c r="D25" t="s">
        <v>1487</v>
      </c>
    </row>
    <row r="26" spans="1:4" ht="14.25" hidden="1" customHeight="1">
      <c r="A26" t="s">
        <v>36</v>
      </c>
      <c r="B26">
        <v>25</v>
      </c>
      <c r="C26" t="s">
        <v>61</v>
      </c>
      <c r="D26" t="s">
        <v>1488</v>
      </c>
    </row>
    <row r="27" spans="1:4" ht="14.25" hidden="1" customHeight="1">
      <c r="A27" t="s">
        <v>36</v>
      </c>
      <c r="B27">
        <v>26</v>
      </c>
      <c r="C27" t="s">
        <v>62</v>
      </c>
      <c r="D27" t="s">
        <v>1487</v>
      </c>
    </row>
    <row r="28" spans="1:4" ht="14.25" hidden="1" customHeight="1">
      <c r="A28" t="s">
        <v>36</v>
      </c>
      <c r="B28">
        <v>27</v>
      </c>
      <c r="C28" t="s">
        <v>63</v>
      </c>
      <c r="D28" t="s">
        <v>1488</v>
      </c>
    </row>
    <row r="29" spans="1:4" ht="14.25" hidden="1" customHeight="1">
      <c r="A29" t="s">
        <v>36</v>
      </c>
      <c r="B29">
        <v>28</v>
      </c>
      <c r="C29" t="s">
        <v>64</v>
      </c>
      <c r="D29" t="s">
        <v>1488</v>
      </c>
    </row>
    <row r="30" spans="1:4" ht="14.25" hidden="1" customHeight="1">
      <c r="A30" t="s">
        <v>36</v>
      </c>
      <c r="B30">
        <v>29</v>
      </c>
      <c r="C30" t="s">
        <v>65</v>
      </c>
      <c r="D30" t="s">
        <v>1488</v>
      </c>
    </row>
    <row r="31" spans="1:4" ht="14.25" hidden="1" customHeight="1">
      <c r="A31" t="s">
        <v>36</v>
      </c>
      <c r="B31">
        <v>30</v>
      </c>
      <c r="C31" t="s">
        <v>66</v>
      </c>
      <c r="D31" t="s">
        <v>1487</v>
      </c>
    </row>
    <row r="32" spans="1:4" ht="14.25" hidden="1" customHeight="1">
      <c r="A32" t="s">
        <v>36</v>
      </c>
      <c r="B32">
        <v>31</v>
      </c>
      <c r="C32" t="s">
        <v>67</v>
      </c>
      <c r="D32" t="s">
        <v>1488</v>
      </c>
    </row>
    <row r="33" spans="1:4" ht="14.25" hidden="1" customHeight="1">
      <c r="A33" t="s">
        <v>36</v>
      </c>
      <c r="B33">
        <v>32</v>
      </c>
      <c r="C33" t="s">
        <v>68</v>
      </c>
      <c r="D33" t="s">
        <v>1487</v>
      </c>
    </row>
    <row r="34" spans="1:4" ht="14.25" hidden="1" customHeight="1">
      <c r="A34" t="s">
        <v>36</v>
      </c>
      <c r="B34">
        <v>33</v>
      </c>
      <c r="C34" t="s">
        <v>69</v>
      </c>
      <c r="D34" t="s">
        <v>1488</v>
      </c>
    </row>
    <row r="35" spans="1:4" ht="14.25" hidden="1" customHeight="1">
      <c r="A35" t="s">
        <v>36</v>
      </c>
      <c r="B35">
        <v>34</v>
      </c>
      <c r="C35" t="s">
        <v>70</v>
      </c>
      <c r="D35" t="s">
        <v>1487</v>
      </c>
    </row>
    <row r="36" spans="1:4" ht="14.25" hidden="1" customHeight="1">
      <c r="A36" t="s">
        <v>36</v>
      </c>
      <c r="B36">
        <v>35</v>
      </c>
      <c r="C36" t="s">
        <v>71</v>
      </c>
      <c r="D36" t="s">
        <v>1488</v>
      </c>
    </row>
    <row r="37" spans="1:4" ht="14.25" hidden="1" customHeight="1">
      <c r="A37" t="s">
        <v>36</v>
      </c>
      <c r="B37">
        <v>36</v>
      </c>
      <c r="C37" t="s">
        <v>72</v>
      </c>
      <c r="D37" t="s">
        <v>1487</v>
      </c>
    </row>
    <row r="38" spans="1:4" ht="14.25" hidden="1" customHeight="1">
      <c r="A38" t="s">
        <v>36</v>
      </c>
      <c r="B38">
        <v>37</v>
      </c>
      <c r="C38" t="s">
        <v>73</v>
      </c>
      <c r="D38" t="s">
        <v>1488</v>
      </c>
    </row>
    <row r="39" spans="1:4" ht="14.25" hidden="1" customHeight="1">
      <c r="A39" t="s">
        <v>36</v>
      </c>
      <c r="B39">
        <v>38</v>
      </c>
      <c r="C39" t="s">
        <v>74</v>
      </c>
      <c r="D39" t="s">
        <v>1487</v>
      </c>
    </row>
    <row r="40" spans="1:4" ht="14.25" hidden="1" customHeight="1">
      <c r="A40" t="s">
        <v>36</v>
      </c>
      <c r="B40">
        <v>39</v>
      </c>
      <c r="C40" t="s">
        <v>75</v>
      </c>
      <c r="D40" t="s">
        <v>1488</v>
      </c>
    </row>
    <row r="41" spans="1:4" ht="14.25" hidden="1" customHeight="1">
      <c r="A41" t="s">
        <v>36</v>
      </c>
      <c r="B41">
        <v>40</v>
      </c>
      <c r="C41" t="s">
        <v>76</v>
      </c>
      <c r="D41" t="s">
        <v>1487</v>
      </c>
    </row>
    <row r="42" spans="1:4" ht="14.25" hidden="1" customHeight="1">
      <c r="A42" t="s">
        <v>36</v>
      </c>
      <c r="B42">
        <v>41</v>
      </c>
      <c r="C42" t="s">
        <v>77</v>
      </c>
      <c r="D42" t="s">
        <v>1488</v>
      </c>
    </row>
    <row r="43" spans="1:4" ht="14.25" hidden="1" customHeight="1">
      <c r="A43" t="s">
        <v>36</v>
      </c>
      <c r="B43">
        <v>42</v>
      </c>
      <c r="C43" t="s">
        <v>78</v>
      </c>
      <c r="D43" t="s">
        <v>1487</v>
      </c>
    </row>
    <row r="44" spans="1:4" ht="14.25" hidden="1" customHeight="1">
      <c r="A44" t="s">
        <v>36</v>
      </c>
      <c r="B44">
        <v>43</v>
      </c>
      <c r="C44" t="s">
        <v>79</v>
      </c>
      <c r="D44" t="s">
        <v>1488</v>
      </c>
    </row>
    <row r="45" spans="1:4" ht="14.25" hidden="1" customHeight="1">
      <c r="A45" t="s">
        <v>36</v>
      </c>
      <c r="B45">
        <v>44</v>
      </c>
      <c r="C45" t="s">
        <v>80</v>
      </c>
      <c r="D45" t="s">
        <v>1487</v>
      </c>
    </row>
    <row r="46" spans="1:4" ht="14.25" hidden="1" customHeight="1">
      <c r="A46" t="s">
        <v>36</v>
      </c>
      <c r="B46">
        <v>45</v>
      </c>
      <c r="C46" t="s">
        <v>81</v>
      </c>
      <c r="D46" t="s">
        <v>1488</v>
      </c>
    </row>
    <row r="47" spans="1:4" ht="14.25" hidden="1" customHeight="1">
      <c r="A47" t="s">
        <v>36</v>
      </c>
      <c r="B47">
        <v>46</v>
      </c>
      <c r="C47" t="s">
        <v>82</v>
      </c>
      <c r="D47" t="s">
        <v>1487</v>
      </c>
    </row>
    <row r="48" spans="1:4" ht="14.25" hidden="1" customHeight="1">
      <c r="A48" t="s">
        <v>36</v>
      </c>
      <c r="B48">
        <v>47</v>
      </c>
      <c r="C48" t="s">
        <v>83</v>
      </c>
      <c r="D48" t="s">
        <v>1488</v>
      </c>
    </row>
    <row r="49" spans="1:4" ht="14.25" hidden="1" customHeight="1">
      <c r="A49" t="s">
        <v>36</v>
      </c>
      <c r="B49">
        <v>48</v>
      </c>
      <c r="C49" t="s">
        <v>84</v>
      </c>
      <c r="D49" t="s">
        <v>1487</v>
      </c>
    </row>
    <row r="50" spans="1:4" ht="14.25" hidden="1" customHeight="1">
      <c r="A50" t="s">
        <v>36</v>
      </c>
      <c r="B50">
        <v>49</v>
      </c>
      <c r="C50" t="s">
        <v>85</v>
      </c>
      <c r="D50" t="s">
        <v>1487</v>
      </c>
    </row>
    <row r="51" spans="1:4" ht="14.25" hidden="1" customHeight="1">
      <c r="A51" t="s">
        <v>36</v>
      </c>
      <c r="B51">
        <v>50</v>
      </c>
      <c r="C51" t="s">
        <v>86</v>
      </c>
      <c r="D51" t="s">
        <v>1488</v>
      </c>
    </row>
    <row r="52" spans="1:4" ht="14.25" hidden="1" customHeight="1">
      <c r="A52" t="s">
        <v>36</v>
      </c>
      <c r="B52">
        <v>51</v>
      </c>
      <c r="C52" t="s">
        <v>87</v>
      </c>
      <c r="D52" t="s">
        <v>1487</v>
      </c>
    </row>
    <row r="53" spans="1:4" ht="14.25" hidden="1" customHeight="1">
      <c r="A53" t="s">
        <v>36</v>
      </c>
      <c r="B53">
        <v>52</v>
      </c>
      <c r="C53" t="s">
        <v>88</v>
      </c>
      <c r="D53" t="s">
        <v>1488</v>
      </c>
    </row>
    <row r="54" spans="1:4" ht="14.25" hidden="1" customHeight="1">
      <c r="A54" t="s">
        <v>36</v>
      </c>
      <c r="B54">
        <v>53</v>
      </c>
      <c r="C54" t="s">
        <v>89</v>
      </c>
      <c r="D54" t="s">
        <v>1487</v>
      </c>
    </row>
    <row r="55" spans="1:4" ht="14.25" hidden="1" customHeight="1">
      <c r="A55" t="s">
        <v>36</v>
      </c>
      <c r="B55">
        <v>54</v>
      </c>
      <c r="C55" t="s">
        <v>90</v>
      </c>
      <c r="D55" t="s">
        <v>1488</v>
      </c>
    </row>
    <row r="56" spans="1:4" ht="14.25" hidden="1" customHeight="1">
      <c r="A56" t="s">
        <v>36</v>
      </c>
      <c r="B56">
        <v>55</v>
      </c>
      <c r="C56" t="s">
        <v>91</v>
      </c>
      <c r="D56" t="s">
        <v>1488</v>
      </c>
    </row>
    <row r="57" spans="1:4" ht="14.25" hidden="1" customHeight="1">
      <c r="A57" t="s">
        <v>36</v>
      </c>
      <c r="B57">
        <v>56</v>
      </c>
      <c r="C57" t="s">
        <v>92</v>
      </c>
      <c r="D57" t="s">
        <v>1487</v>
      </c>
    </row>
    <row r="58" spans="1:4" ht="14.25" hidden="1" customHeight="1">
      <c r="A58" t="s">
        <v>36</v>
      </c>
      <c r="B58">
        <v>57</v>
      </c>
      <c r="C58" t="s">
        <v>93</v>
      </c>
      <c r="D58" t="s">
        <v>1487</v>
      </c>
    </row>
    <row r="59" spans="1:4" ht="14.25" hidden="1" customHeight="1">
      <c r="A59" t="s">
        <v>36</v>
      </c>
      <c r="B59">
        <v>58</v>
      </c>
      <c r="C59" t="s">
        <v>94</v>
      </c>
      <c r="D59" t="s">
        <v>1488</v>
      </c>
    </row>
    <row r="60" spans="1:4" ht="14.25" hidden="1" customHeight="1">
      <c r="A60" t="s">
        <v>36</v>
      </c>
      <c r="B60">
        <v>59</v>
      </c>
      <c r="C60" t="s">
        <v>95</v>
      </c>
      <c r="D60" t="s">
        <v>1487</v>
      </c>
    </row>
    <row r="61" spans="1:4" ht="14.25" hidden="1" customHeight="1">
      <c r="A61" t="s">
        <v>36</v>
      </c>
      <c r="B61">
        <v>60</v>
      </c>
      <c r="C61" t="s">
        <v>96</v>
      </c>
      <c r="D61" t="s">
        <v>1488</v>
      </c>
    </row>
    <row r="62" spans="1:4" ht="14.25" hidden="1" customHeight="1">
      <c r="A62" t="s">
        <v>36</v>
      </c>
      <c r="B62">
        <v>61</v>
      </c>
      <c r="C62" t="s">
        <v>97</v>
      </c>
      <c r="D62" t="s">
        <v>1488</v>
      </c>
    </row>
    <row r="63" spans="1:4" ht="14.25" hidden="1" customHeight="1">
      <c r="A63" t="s">
        <v>36</v>
      </c>
      <c r="B63">
        <v>62</v>
      </c>
      <c r="C63" t="s">
        <v>98</v>
      </c>
      <c r="D63" t="s">
        <v>1488</v>
      </c>
    </row>
    <row r="64" spans="1:4" ht="14.25" hidden="1" customHeight="1">
      <c r="A64" t="s">
        <v>36</v>
      </c>
      <c r="B64">
        <v>63</v>
      </c>
      <c r="C64" t="s">
        <v>99</v>
      </c>
      <c r="D64" t="s">
        <v>1487</v>
      </c>
    </row>
    <row r="65" spans="1:4" ht="14.25" hidden="1" customHeight="1">
      <c r="A65" t="s">
        <v>36</v>
      </c>
      <c r="B65">
        <v>64</v>
      </c>
      <c r="C65" t="s">
        <v>100</v>
      </c>
      <c r="D65" t="s">
        <v>1488</v>
      </c>
    </row>
    <row r="66" spans="1:4" ht="14.25" hidden="1" customHeight="1">
      <c r="A66" t="s">
        <v>36</v>
      </c>
      <c r="B66">
        <v>65</v>
      </c>
      <c r="C66" t="s">
        <v>101</v>
      </c>
      <c r="D66" t="s">
        <v>1487</v>
      </c>
    </row>
    <row r="67" spans="1:4" ht="14.25" hidden="1" customHeight="1">
      <c r="A67" t="s">
        <v>36</v>
      </c>
      <c r="B67">
        <v>66</v>
      </c>
      <c r="C67" t="s">
        <v>102</v>
      </c>
      <c r="D67" t="s">
        <v>1488</v>
      </c>
    </row>
    <row r="68" spans="1:4" ht="14.25" hidden="1" customHeight="1">
      <c r="A68" t="s">
        <v>36</v>
      </c>
      <c r="B68">
        <v>67</v>
      </c>
      <c r="C68" t="s">
        <v>103</v>
      </c>
      <c r="D68" t="s">
        <v>1487</v>
      </c>
    </row>
    <row r="69" spans="1:4" ht="14.25" hidden="1" customHeight="1">
      <c r="A69" t="s">
        <v>36</v>
      </c>
      <c r="B69">
        <v>68</v>
      </c>
      <c r="C69" t="s">
        <v>104</v>
      </c>
      <c r="D69" t="s">
        <v>1488</v>
      </c>
    </row>
    <row r="70" spans="1:4" ht="14.25" hidden="1" customHeight="1">
      <c r="A70" t="s">
        <v>36</v>
      </c>
      <c r="B70">
        <v>69</v>
      </c>
      <c r="C70" t="s">
        <v>105</v>
      </c>
      <c r="D70" t="s">
        <v>1487</v>
      </c>
    </row>
    <row r="71" spans="1:4" ht="14.25" hidden="1" customHeight="1">
      <c r="A71" t="s">
        <v>36</v>
      </c>
      <c r="B71">
        <v>70</v>
      </c>
      <c r="C71" t="s">
        <v>106</v>
      </c>
      <c r="D71" t="s">
        <v>1488</v>
      </c>
    </row>
    <row r="72" spans="1:4" ht="14.25" hidden="1" customHeight="1">
      <c r="A72" t="s">
        <v>36</v>
      </c>
      <c r="B72">
        <v>71</v>
      </c>
      <c r="C72" t="s">
        <v>107</v>
      </c>
      <c r="D72" t="s">
        <v>1487</v>
      </c>
    </row>
    <row r="73" spans="1:4" ht="14.25" hidden="1" customHeight="1">
      <c r="A73" t="s">
        <v>36</v>
      </c>
      <c r="B73">
        <v>72</v>
      </c>
      <c r="C73" t="s">
        <v>108</v>
      </c>
      <c r="D73" t="s">
        <v>1488</v>
      </c>
    </row>
    <row r="74" spans="1:4" ht="14.25" hidden="1" customHeight="1">
      <c r="A74" t="s">
        <v>36</v>
      </c>
      <c r="B74">
        <v>73</v>
      </c>
      <c r="C74" t="s">
        <v>109</v>
      </c>
      <c r="D74" t="s">
        <v>1487</v>
      </c>
    </row>
    <row r="75" spans="1:4" ht="14.25" hidden="1" customHeight="1">
      <c r="A75" t="s">
        <v>36</v>
      </c>
      <c r="B75">
        <v>74</v>
      </c>
      <c r="C75" t="s">
        <v>110</v>
      </c>
      <c r="D75" t="s">
        <v>1488</v>
      </c>
    </row>
    <row r="76" spans="1:4" ht="14.25" hidden="1" customHeight="1">
      <c r="A76" t="s">
        <v>36</v>
      </c>
      <c r="B76">
        <v>75</v>
      </c>
      <c r="C76" t="s">
        <v>111</v>
      </c>
      <c r="D76" t="s">
        <v>1488</v>
      </c>
    </row>
    <row r="77" spans="1:4" ht="14.25" hidden="1" customHeight="1">
      <c r="A77" t="s">
        <v>36</v>
      </c>
      <c r="B77">
        <v>76</v>
      </c>
      <c r="C77" t="s">
        <v>112</v>
      </c>
      <c r="D77" t="s">
        <v>1488</v>
      </c>
    </row>
    <row r="78" spans="1:4" ht="14.25" hidden="1" customHeight="1">
      <c r="A78" t="s">
        <v>36</v>
      </c>
      <c r="B78">
        <v>77</v>
      </c>
      <c r="C78" t="s">
        <v>113</v>
      </c>
      <c r="D78" t="s">
        <v>1487</v>
      </c>
    </row>
    <row r="79" spans="1:4" ht="14.25" hidden="1" customHeight="1">
      <c r="A79" t="s">
        <v>36</v>
      </c>
      <c r="B79">
        <v>78</v>
      </c>
      <c r="C79" t="s">
        <v>114</v>
      </c>
      <c r="D79" t="s">
        <v>1488</v>
      </c>
    </row>
    <row r="80" spans="1:4" ht="14.25" hidden="1" customHeight="1">
      <c r="A80" t="s">
        <v>36</v>
      </c>
      <c r="B80">
        <v>79</v>
      </c>
      <c r="C80" t="s">
        <v>115</v>
      </c>
      <c r="D80" t="s">
        <v>1487</v>
      </c>
    </row>
    <row r="81" spans="1:4" ht="14.25" hidden="1" customHeight="1">
      <c r="A81" t="s">
        <v>36</v>
      </c>
      <c r="B81">
        <v>80</v>
      </c>
      <c r="C81" t="s">
        <v>116</v>
      </c>
      <c r="D81" t="s">
        <v>1488</v>
      </c>
    </row>
    <row r="82" spans="1:4" ht="14.25" hidden="1" customHeight="1">
      <c r="A82" t="s">
        <v>36</v>
      </c>
      <c r="B82">
        <v>81</v>
      </c>
      <c r="C82" t="s">
        <v>117</v>
      </c>
      <c r="D82" t="s">
        <v>1487</v>
      </c>
    </row>
    <row r="83" spans="1:4" ht="14.25" hidden="1" customHeight="1">
      <c r="A83" t="s">
        <v>36</v>
      </c>
      <c r="B83">
        <v>82</v>
      </c>
      <c r="C83" t="s">
        <v>118</v>
      </c>
      <c r="D83" t="s">
        <v>1488</v>
      </c>
    </row>
    <row r="84" spans="1:4" ht="14.25" hidden="1" customHeight="1">
      <c r="A84" t="s">
        <v>36</v>
      </c>
      <c r="B84">
        <v>83</v>
      </c>
      <c r="C84" t="s">
        <v>119</v>
      </c>
      <c r="D84" t="s">
        <v>1487</v>
      </c>
    </row>
    <row r="85" spans="1:4" ht="14.25" hidden="1" customHeight="1">
      <c r="A85" t="s">
        <v>36</v>
      </c>
      <c r="B85">
        <v>84</v>
      </c>
      <c r="C85" t="s">
        <v>120</v>
      </c>
      <c r="D85" t="s">
        <v>1488</v>
      </c>
    </row>
    <row r="86" spans="1:4" ht="14.25" hidden="1" customHeight="1">
      <c r="A86" t="s">
        <v>36</v>
      </c>
      <c r="B86">
        <v>85</v>
      </c>
      <c r="C86" t="s">
        <v>121</v>
      </c>
      <c r="D86" t="s">
        <v>1487</v>
      </c>
    </row>
    <row r="87" spans="1:4" ht="14.25" hidden="1" customHeight="1">
      <c r="A87" t="s">
        <v>36</v>
      </c>
      <c r="B87">
        <v>86</v>
      </c>
      <c r="C87" t="s">
        <v>122</v>
      </c>
      <c r="D87" t="s">
        <v>1488</v>
      </c>
    </row>
    <row r="88" spans="1:4" ht="14.25" hidden="1" customHeight="1">
      <c r="A88" t="s">
        <v>36</v>
      </c>
      <c r="B88">
        <v>87</v>
      </c>
      <c r="C88" t="s">
        <v>123</v>
      </c>
      <c r="D88" t="s">
        <v>1487</v>
      </c>
    </row>
    <row r="89" spans="1:4" ht="14.25" hidden="1" customHeight="1">
      <c r="A89" t="s">
        <v>36</v>
      </c>
      <c r="B89">
        <v>88</v>
      </c>
      <c r="C89" t="s">
        <v>124</v>
      </c>
      <c r="D89" t="s">
        <v>1488</v>
      </c>
    </row>
    <row r="90" spans="1:4" ht="14.25" hidden="1" customHeight="1">
      <c r="A90" t="s">
        <v>36</v>
      </c>
      <c r="B90">
        <v>89</v>
      </c>
      <c r="C90" t="s">
        <v>125</v>
      </c>
      <c r="D90" t="s">
        <v>1487</v>
      </c>
    </row>
    <row r="91" spans="1:4" ht="14.25" hidden="1" customHeight="1">
      <c r="A91" t="s">
        <v>36</v>
      </c>
      <c r="B91">
        <v>90</v>
      </c>
      <c r="C91" t="s">
        <v>126</v>
      </c>
      <c r="D91" t="s">
        <v>1488</v>
      </c>
    </row>
    <row r="92" spans="1:4" ht="14.25" hidden="1" customHeight="1">
      <c r="A92" t="s">
        <v>36</v>
      </c>
      <c r="B92">
        <v>91</v>
      </c>
      <c r="C92" t="s">
        <v>127</v>
      </c>
      <c r="D92" t="s">
        <v>1487</v>
      </c>
    </row>
    <row r="93" spans="1:4" ht="14.25" hidden="1" customHeight="1">
      <c r="A93" t="s">
        <v>36</v>
      </c>
      <c r="B93">
        <v>92</v>
      </c>
      <c r="C93" t="s">
        <v>128</v>
      </c>
      <c r="D93" t="s">
        <v>1488</v>
      </c>
    </row>
    <row r="94" spans="1:4" ht="14.25" hidden="1" customHeight="1">
      <c r="A94" t="s">
        <v>36</v>
      </c>
      <c r="B94">
        <v>93</v>
      </c>
      <c r="C94" t="s">
        <v>129</v>
      </c>
      <c r="D94" t="s">
        <v>1487</v>
      </c>
    </row>
    <row r="95" spans="1:4" ht="14.25" hidden="1" customHeight="1">
      <c r="A95" t="s">
        <v>36</v>
      </c>
      <c r="B95">
        <v>94</v>
      </c>
      <c r="C95" t="s">
        <v>130</v>
      </c>
      <c r="D95" t="s">
        <v>1488</v>
      </c>
    </row>
    <row r="96" spans="1:4" ht="14.25" hidden="1" customHeight="1">
      <c r="A96" t="s">
        <v>36</v>
      </c>
      <c r="B96">
        <v>95</v>
      </c>
      <c r="C96" t="s">
        <v>131</v>
      </c>
      <c r="D96" t="s">
        <v>1487</v>
      </c>
    </row>
    <row r="97" spans="1:4" ht="14.25" hidden="1" customHeight="1">
      <c r="A97" t="s">
        <v>36</v>
      </c>
      <c r="B97">
        <v>96</v>
      </c>
      <c r="C97" t="s">
        <v>132</v>
      </c>
      <c r="D97" t="s">
        <v>1488</v>
      </c>
    </row>
    <row r="98" spans="1:4" ht="14.25" hidden="1" customHeight="1">
      <c r="A98" t="s">
        <v>36</v>
      </c>
      <c r="B98">
        <v>97</v>
      </c>
      <c r="C98" t="s">
        <v>133</v>
      </c>
      <c r="D98" t="s">
        <v>1487</v>
      </c>
    </row>
    <row r="99" spans="1:4" ht="14.25" hidden="1" customHeight="1">
      <c r="A99" t="s">
        <v>36</v>
      </c>
      <c r="B99">
        <v>98</v>
      </c>
      <c r="C99" t="s">
        <v>134</v>
      </c>
      <c r="D99" t="s">
        <v>1487</v>
      </c>
    </row>
    <row r="100" spans="1:4" ht="14.25" hidden="1" customHeight="1">
      <c r="A100" t="s">
        <v>36</v>
      </c>
      <c r="B100">
        <v>99</v>
      </c>
      <c r="C100" t="s">
        <v>135</v>
      </c>
      <c r="D100" t="s">
        <v>1488</v>
      </c>
    </row>
    <row r="101" spans="1:4" ht="14.25" hidden="1" customHeight="1">
      <c r="A101" t="s">
        <v>36</v>
      </c>
      <c r="B101">
        <v>100</v>
      </c>
      <c r="C101" t="s">
        <v>136</v>
      </c>
      <c r="D101" t="s">
        <v>1488</v>
      </c>
    </row>
    <row r="102" spans="1:4" ht="14.25" hidden="1" customHeight="1">
      <c r="A102" t="s">
        <v>36</v>
      </c>
      <c r="B102">
        <v>101</v>
      </c>
      <c r="C102" t="s">
        <v>137</v>
      </c>
      <c r="D102" t="s">
        <v>1487</v>
      </c>
    </row>
    <row r="103" spans="1:4" ht="14.25" hidden="1" customHeight="1">
      <c r="A103" t="s">
        <v>36</v>
      </c>
      <c r="B103">
        <v>102</v>
      </c>
      <c r="C103" t="s">
        <v>138</v>
      </c>
      <c r="D103" t="s">
        <v>1488</v>
      </c>
    </row>
    <row r="104" spans="1:4" ht="14.25" hidden="1" customHeight="1">
      <c r="A104" t="s">
        <v>36</v>
      </c>
      <c r="B104">
        <v>103</v>
      </c>
      <c r="C104" t="s">
        <v>139</v>
      </c>
      <c r="D104" t="s">
        <v>1488</v>
      </c>
    </row>
    <row r="105" spans="1:4" ht="14.25" hidden="1" customHeight="1">
      <c r="A105" t="s">
        <v>36</v>
      </c>
      <c r="B105">
        <v>104</v>
      </c>
      <c r="C105" t="s">
        <v>140</v>
      </c>
      <c r="D105" t="s">
        <v>1488</v>
      </c>
    </row>
    <row r="106" spans="1:4" ht="14.25" hidden="1" customHeight="1">
      <c r="A106" t="s">
        <v>36</v>
      </c>
      <c r="B106">
        <v>105</v>
      </c>
      <c r="C106" t="s">
        <v>141</v>
      </c>
      <c r="D106" t="s">
        <v>1488</v>
      </c>
    </row>
    <row r="107" spans="1:4" ht="14.25" hidden="1" customHeight="1">
      <c r="A107" t="s">
        <v>36</v>
      </c>
      <c r="B107">
        <v>106</v>
      </c>
      <c r="C107" t="s">
        <v>142</v>
      </c>
      <c r="D107" t="s">
        <v>1488</v>
      </c>
    </row>
    <row r="108" spans="1:4" ht="14.25" hidden="1" customHeight="1">
      <c r="A108" t="s">
        <v>36</v>
      </c>
      <c r="B108">
        <v>107</v>
      </c>
      <c r="C108" t="s">
        <v>143</v>
      </c>
      <c r="D108" t="s">
        <v>1488</v>
      </c>
    </row>
    <row r="109" spans="1:4" ht="14.25" hidden="1" customHeight="1">
      <c r="A109" t="s">
        <v>36</v>
      </c>
      <c r="B109">
        <v>108</v>
      </c>
      <c r="C109" t="s">
        <v>144</v>
      </c>
      <c r="D109" t="s">
        <v>1488</v>
      </c>
    </row>
    <row r="110" spans="1:4" ht="14.25" hidden="1" customHeight="1">
      <c r="A110" t="s">
        <v>36</v>
      </c>
      <c r="B110">
        <v>109</v>
      </c>
      <c r="C110" t="s">
        <v>145</v>
      </c>
      <c r="D110" t="s">
        <v>1487</v>
      </c>
    </row>
    <row r="111" spans="1:4" ht="14.25" hidden="1" customHeight="1">
      <c r="A111" t="s">
        <v>36</v>
      </c>
      <c r="B111">
        <v>110</v>
      </c>
      <c r="C111" t="s">
        <v>146</v>
      </c>
      <c r="D111" t="s">
        <v>1488</v>
      </c>
    </row>
    <row r="112" spans="1:4" ht="14.25" hidden="1" customHeight="1">
      <c r="A112" t="s">
        <v>36</v>
      </c>
      <c r="B112">
        <v>111</v>
      </c>
      <c r="C112" t="s">
        <v>147</v>
      </c>
      <c r="D112" t="s">
        <v>1488</v>
      </c>
    </row>
    <row r="113" spans="1:4" ht="14.25" hidden="1" customHeight="1">
      <c r="A113" t="s">
        <v>36</v>
      </c>
      <c r="B113">
        <v>112</v>
      </c>
      <c r="C113" t="s">
        <v>148</v>
      </c>
      <c r="D113" t="s">
        <v>1488</v>
      </c>
    </row>
    <row r="114" spans="1:4" ht="14.25" hidden="1" customHeight="1">
      <c r="A114" t="s">
        <v>36</v>
      </c>
      <c r="B114">
        <v>113</v>
      </c>
      <c r="C114" t="s">
        <v>149</v>
      </c>
      <c r="D114" t="s">
        <v>1487</v>
      </c>
    </row>
    <row r="115" spans="1:4" ht="14.25" hidden="1" customHeight="1">
      <c r="A115" t="s">
        <v>36</v>
      </c>
      <c r="B115">
        <v>114</v>
      </c>
      <c r="C115" t="s">
        <v>150</v>
      </c>
      <c r="D115" t="s">
        <v>1488</v>
      </c>
    </row>
    <row r="116" spans="1:4" ht="14.25" hidden="1" customHeight="1">
      <c r="A116" t="s">
        <v>36</v>
      </c>
      <c r="B116">
        <v>115</v>
      </c>
      <c r="C116" t="s">
        <v>151</v>
      </c>
      <c r="D116" t="s">
        <v>1488</v>
      </c>
    </row>
    <row r="117" spans="1:4" ht="14.25" hidden="1" customHeight="1">
      <c r="A117" t="s">
        <v>36</v>
      </c>
      <c r="B117">
        <v>116</v>
      </c>
      <c r="C117" t="s">
        <v>152</v>
      </c>
      <c r="D117" t="s">
        <v>1488</v>
      </c>
    </row>
    <row r="118" spans="1:4" ht="14.25" hidden="1" customHeight="1">
      <c r="A118" t="s">
        <v>36</v>
      </c>
      <c r="B118">
        <v>117</v>
      </c>
      <c r="C118" t="s">
        <v>153</v>
      </c>
      <c r="D118" t="s">
        <v>1488</v>
      </c>
    </row>
    <row r="119" spans="1:4" ht="14.25" hidden="1" customHeight="1">
      <c r="A119" t="s">
        <v>36</v>
      </c>
      <c r="B119">
        <v>118</v>
      </c>
      <c r="C119" t="s">
        <v>154</v>
      </c>
      <c r="D119" t="s">
        <v>1488</v>
      </c>
    </row>
    <row r="120" spans="1:4" ht="14.25" hidden="1" customHeight="1">
      <c r="A120" t="s">
        <v>36</v>
      </c>
      <c r="B120">
        <v>119</v>
      </c>
      <c r="C120" t="s">
        <v>155</v>
      </c>
      <c r="D120" t="s">
        <v>1488</v>
      </c>
    </row>
    <row r="121" spans="1:4" ht="14.25" hidden="1" customHeight="1">
      <c r="A121" t="s">
        <v>36</v>
      </c>
      <c r="B121">
        <v>120</v>
      </c>
      <c r="C121" t="s">
        <v>156</v>
      </c>
      <c r="D121" t="s">
        <v>1488</v>
      </c>
    </row>
    <row r="122" spans="1:4" ht="14.25" hidden="1" customHeight="1">
      <c r="A122" t="s">
        <v>185</v>
      </c>
      <c r="B122">
        <v>1</v>
      </c>
      <c r="C122" t="s">
        <v>186</v>
      </c>
      <c r="D122" t="s">
        <v>1487</v>
      </c>
    </row>
    <row r="123" spans="1:4" ht="14.25" hidden="1" customHeight="1">
      <c r="A123" t="s">
        <v>185</v>
      </c>
      <c r="B123">
        <v>2</v>
      </c>
      <c r="C123" t="s">
        <v>187</v>
      </c>
      <c r="D123" t="s">
        <v>1488</v>
      </c>
    </row>
    <row r="124" spans="1:4" ht="14.25" hidden="1" customHeight="1">
      <c r="A124" t="s">
        <v>185</v>
      </c>
      <c r="B124">
        <v>3</v>
      </c>
      <c r="C124" t="s">
        <v>188</v>
      </c>
      <c r="D124" t="s">
        <v>1488</v>
      </c>
    </row>
    <row r="125" spans="1:4" ht="14.25" hidden="1" customHeight="1">
      <c r="A125" t="s">
        <v>185</v>
      </c>
      <c r="B125">
        <v>4</v>
      </c>
      <c r="C125" t="s">
        <v>189</v>
      </c>
      <c r="D125" t="s">
        <v>1487</v>
      </c>
    </row>
    <row r="126" spans="1:4" ht="14.25" hidden="1" customHeight="1">
      <c r="A126" t="s">
        <v>185</v>
      </c>
      <c r="B126">
        <v>5</v>
      </c>
      <c r="C126" t="s">
        <v>190</v>
      </c>
      <c r="D126" t="s">
        <v>1488</v>
      </c>
    </row>
    <row r="127" spans="1:4" ht="14.25" hidden="1" customHeight="1">
      <c r="A127" t="s">
        <v>185</v>
      </c>
      <c r="B127">
        <v>6</v>
      </c>
      <c r="C127" t="s">
        <v>191</v>
      </c>
      <c r="D127" t="s">
        <v>1487</v>
      </c>
    </row>
    <row r="128" spans="1:4" ht="14.25" hidden="1" customHeight="1">
      <c r="A128" t="s">
        <v>185</v>
      </c>
      <c r="B128">
        <v>7</v>
      </c>
      <c r="C128" t="s">
        <v>192</v>
      </c>
      <c r="D128" t="s">
        <v>1488</v>
      </c>
    </row>
    <row r="129" spans="1:4" ht="14.25" hidden="1" customHeight="1">
      <c r="A129" t="s">
        <v>185</v>
      </c>
      <c r="B129">
        <v>8</v>
      </c>
      <c r="C129" t="s">
        <v>193</v>
      </c>
      <c r="D129" t="s">
        <v>1488</v>
      </c>
    </row>
    <row r="130" spans="1:4" ht="14.25" hidden="1" customHeight="1">
      <c r="A130" t="s">
        <v>185</v>
      </c>
      <c r="B130">
        <v>9</v>
      </c>
      <c r="C130" t="s">
        <v>194</v>
      </c>
      <c r="D130" t="s">
        <v>1487</v>
      </c>
    </row>
    <row r="131" spans="1:4" ht="14.25" hidden="1" customHeight="1">
      <c r="A131" t="s">
        <v>185</v>
      </c>
      <c r="B131">
        <v>10</v>
      </c>
      <c r="C131" t="s">
        <v>195</v>
      </c>
      <c r="D131" t="s">
        <v>1488</v>
      </c>
    </row>
    <row r="132" spans="1:4" ht="14.25" hidden="1" customHeight="1">
      <c r="A132" t="s">
        <v>185</v>
      </c>
      <c r="B132">
        <v>11</v>
      </c>
      <c r="C132" t="s">
        <v>196</v>
      </c>
      <c r="D132" t="s">
        <v>1488</v>
      </c>
    </row>
    <row r="133" spans="1:4" ht="14.25" hidden="1" customHeight="1">
      <c r="A133" t="s">
        <v>185</v>
      </c>
      <c r="B133">
        <v>12</v>
      </c>
      <c r="C133" t="s">
        <v>197</v>
      </c>
      <c r="D133" t="s">
        <v>1488</v>
      </c>
    </row>
    <row r="134" spans="1:4" ht="14.25" hidden="1" customHeight="1">
      <c r="A134" t="s">
        <v>185</v>
      </c>
      <c r="B134">
        <v>13</v>
      </c>
      <c r="C134" t="s">
        <v>198</v>
      </c>
      <c r="D134" t="s">
        <v>1487</v>
      </c>
    </row>
    <row r="135" spans="1:4" ht="14.25" hidden="1" customHeight="1">
      <c r="A135" t="s">
        <v>185</v>
      </c>
      <c r="B135">
        <v>14</v>
      </c>
      <c r="C135" t="s">
        <v>199</v>
      </c>
      <c r="D135" t="s">
        <v>1488</v>
      </c>
    </row>
    <row r="136" spans="1:4" ht="14.25" hidden="1" customHeight="1">
      <c r="A136" t="s">
        <v>185</v>
      </c>
      <c r="B136">
        <v>15</v>
      </c>
      <c r="C136" t="s">
        <v>200</v>
      </c>
      <c r="D136" t="s">
        <v>1488</v>
      </c>
    </row>
    <row r="137" spans="1:4" ht="14.25" hidden="1" customHeight="1">
      <c r="A137" t="s">
        <v>185</v>
      </c>
      <c r="B137">
        <v>16</v>
      </c>
      <c r="C137" t="s">
        <v>201</v>
      </c>
      <c r="D137" t="s">
        <v>1488</v>
      </c>
    </row>
    <row r="138" spans="1:4" ht="14.25" hidden="1" customHeight="1">
      <c r="A138" t="s">
        <v>185</v>
      </c>
      <c r="B138">
        <v>17</v>
      </c>
      <c r="C138" t="s">
        <v>202</v>
      </c>
      <c r="D138" t="s">
        <v>1488</v>
      </c>
    </row>
    <row r="139" spans="1:4" ht="14.25" hidden="1" customHeight="1">
      <c r="A139" t="s">
        <v>185</v>
      </c>
      <c r="B139">
        <v>18</v>
      </c>
      <c r="C139" t="s">
        <v>203</v>
      </c>
      <c r="D139" t="s">
        <v>1487</v>
      </c>
    </row>
    <row r="140" spans="1:4" ht="14.25" hidden="1" customHeight="1">
      <c r="A140" t="s">
        <v>185</v>
      </c>
      <c r="B140">
        <v>19</v>
      </c>
      <c r="C140" t="s">
        <v>204</v>
      </c>
      <c r="D140" t="s">
        <v>1488</v>
      </c>
    </row>
    <row r="141" spans="1:4" ht="14.25" hidden="1" customHeight="1">
      <c r="A141" t="s">
        <v>185</v>
      </c>
      <c r="B141">
        <v>20</v>
      </c>
      <c r="C141" t="s">
        <v>205</v>
      </c>
      <c r="D141" t="s">
        <v>1488</v>
      </c>
    </row>
    <row r="142" spans="1:4" ht="14.25" hidden="1" customHeight="1">
      <c r="A142" t="s">
        <v>206</v>
      </c>
      <c r="B142">
        <v>1</v>
      </c>
      <c r="C142" t="s">
        <v>207</v>
      </c>
      <c r="D142" t="s">
        <v>1488</v>
      </c>
    </row>
    <row r="143" spans="1:4" ht="14.25" hidden="1" customHeight="1">
      <c r="A143" t="s">
        <v>206</v>
      </c>
      <c r="B143">
        <v>2</v>
      </c>
      <c r="C143" t="s">
        <v>208</v>
      </c>
      <c r="D143" t="s">
        <v>1488</v>
      </c>
    </row>
    <row r="144" spans="1:4" ht="14.25" hidden="1" customHeight="1">
      <c r="A144" t="s">
        <v>206</v>
      </c>
      <c r="B144">
        <v>3</v>
      </c>
      <c r="C144" t="s">
        <v>209</v>
      </c>
      <c r="D144" t="s">
        <v>1488</v>
      </c>
    </row>
    <row r="145" spans="1:4" ht="14.25" hidden="1" customHeight="1">
      <c r="A145" t="s">
        <v>206</v>
      </c>
      <c r="B145">
        <v>4</v>
      </c>
      <c r="C145" t="s">
        <v>210</v>
      </c>
      <c r="D145" t="s">
        <v>1488</v>
      </c>
    </row>
    <row r="146" spans="1:4" ht="14.25" hidden="1" customHeight="1">
      <c r="A146" t="s">
        <v>206</v>
      </c>
      <c r="B146">
        <v>5</v>
      </c>
      <c r="C146" t="s">
        <v>211</v>
      </c>
      <c r="D146" t="s">
        <v>1488</v>
      </c>
    </row>
    <row r="147" spans="1:4" ht="14.25" hidden="1" customHeight="1">
      <c r="A147" t="s">
        <v>206</v>
      </c>
      <c r="B147">
        <v>6</v>
      </c>
      <c r="C147" t="s">
        <v>212</v>
      </c>
      <c r="D147" t="s">
        <v>1488</v>
      </c>
    </row>
    <row r="148" spans="1:4" ht="14.25" hidden="1" customHeight="1">
      <c r="A148" t="s">
        <v>206</v>
      </c>
      <c r="B148">
        <v>7</v>
      </c>
      <c r="C148" t="s">
        <v>213</v>
      </c>
      <c r="D148" t="s">
        <v>1488</v>
      </c>
    </row>
    <row r="149" spans="1:4" ht="14.25" hidden="1" customHeight="1">
      <c r="A149" t="s">
        <v>206</v>
      </c>
      <c r="B149">
        <v>8</v>
      </c>
      <c r="C149" t="s">
        <v>214</v>
      </c>
      <c r="D149" t="s">
        <v>1488</v>
      </c>
    </row>
    <row r="150" spans="1:4" ht="14.25" hidden="1" customHeight="1">
      <c r="A150" t="s">
        <v>206</v>
      </c>
      <c r="B150">
        <v>9</v>
      </c>
      <c r="C150" t="s">
        <v>215</v>
      </c>
      <c r="D150" t="s">
        <v>1488</v>
      </c>
    </row>
    <row r="151" spans="1:4" ht="14.25" hidden="1" customHeight="1">
      <c r="A151" t="s">
        <v>206</v>
      </c>
      <c r="B151">
        <v>10</v>
      </c>
      <c r="C151" t="s">
        <v>216</v>
      </c>
      <c r="D151" t="s">
        <v>1488</v>
      </c>
    </row>
    <row r="152" spans="1:4" ht="14.25" hidden="1" customHeight="1">
      <c r="A152" t="s">
        <v>206</v>
      </c>
      <c r="B152">
        <v>11</v>
      </c>
      <c r="C152" t="s">
        <v>217</v>
      </c>
      <c r="D152" t="s">
        <v>1488</v>
      </c>
    </row>
    <row r="153" spans="1:4" ht="14.25" hidden="1" customHeight="1">
      <c r="A153" t="s">
        <v>206</v>
      </c>
      <c r="B153">
        <v>12</v>
      </c>
      <c r="C153" t="s">
        <v>1490</v>
      </c>
      <c r="D153" t="s">
        <v>1488</v>
      </c>
    </row>
    <row r="154" spans="1:4" ht="14.25" hidden="1" customHeight="1">
      <c r="A154" t="s">
        <v>206</v>
      </c>
      <c r="B154">
        <v>13</v>
      </c>
      <c r="C154" t="s">
        <v>219</v>
      </c>
      <c r="D154" t="s">
        <v>1488</v>
      </c>
    </row>
    <row r="155" spans="1:4" ht="14.25" hidden="1" customHeight="1">
      <c r="A155" t="s">
        <v>206</v>
      </c>
      <c r="B155">
        <v>14</v>
      </c>
      <c r="C155" t="s">
        <v>220</v>
      </c>
      <c r="D155" t="s">
        <v>1488</v>
      </c>
    </row>
    <row r="156" spans="1:4" ht="14.25" hidden="1" customHeight="1">
      <c r="A156" t="s">
        <v>206</v>
      </c>
      <c r="B156">
        <v>15</v>
      </c>
      <c r="C156" t="s">
        <v>221</v>
      </c>
      <c r="D156" t="s">
        <v>1488</v>
      </c>
    </row>
    <row r="157" spans="1:4" ht="14.25" hidden="1" customHeight="1">
      <c r="A157" t="s">
        <v>206</v>
      </c>
      <c r="B157">
        <v>16</v>
      </c>
      <c r="C157" t="s">
        <v>222</v>
      </c>
      <c r="D157" t="s">
        <v>1488</v>
      </c>
    </row>
    <row r="158" spans="1:4" ht="14.25" hidden="1" customHeight="1">
      <c r="A158" t="s">
        <v>206</v>
      </c>
      <c r="B158">
        <v>17</v>
      </c>
      <c r="C158" t="s">
        <v>223</v>
      </c>
      <c r="D158" t="s">
        <v>1488</v>
      </c>
    </row>
    <row r="159" spans="1:4" ht="14.25" hidden="1" customHeight="1">
      <c r="A159" t="s">
        <v>206</v>
      </c>
      <c r="B159">
        <v>18</v>
      </c>
      <c r="C159" t="s">
        <v>224</v>
      </c>
      <c r="D159" t="s">
        <v>1488</v>
      </c>
    </row>
    <row r="160" spans="1:4" ht="14.25" hidden="1" customHeight="1">
      <c r="A160" t="s">
        <v>206</v>
      </c>
      <c r="B160">
        <v>19</v>
      </c>
      <c r="C160" t="s">
        <v>225</v>
      </c>
      <c r="D160" t="s">
        <v>1488</v>
      </c>
    </row>
    <row r="161" spans="1:4" ht="14.25" hidden="1" customHeight="1">
      <c r="A161" t="s">
        <v>206</v>
      </c>
      <c r="B161">
        <v>20</v>
      </c>
      <c r="C161" t="s">
        <v>226</v>
      </c>
      <c r="D161" t="s">
        <v>1488</v>
      </c>
    </row>
    <row r="162" spans="1:4" ht="14.25" hidden="1" customHeight="1">
      <c r="A162" t="s">
        <v>206</v>
      </c>
      <c r="B162">
        <v>21</v>
      </c>
      <c r="C162" t="s">
        <v>227</v>
      </c>
      <c r="D162" t="s">
        <v>1488</v>
      </c>
    </row>
    <row r="163" spans="1:4" ht="14.25" hidden="1" customHeight="1">
      <c r="A163" t="s">
        <v>206</v>
      </c>
      <c r="B163">
        <v>22</v>
      </c>
      <c r="C163" t="s">
        <v>228</v>
      </c>
      <c r="D163" t="s">
        <v>1488</v>
      </c>
    </row>
    <row r="164" spans="1:4" ht="14.25" hidden="1" customHeight="1">
      <c r="A164" t="s">
        <v>206</v>
      </c>
      <c r="B164">
        <v>23</v>
      </c>
      <c r="C164" t="s">
        <v>229</v>
      </c>
      <c r="D164" t="s">
        <v>1488</v>
      </c>
    </row>
    <row r="165" spans="1:4" ht="14.25" hidden="1" customHeight="1">
      <c r="A165" t="s">
        <v>206</v>
      </c>
      <c r="B165">
        <v>24</v>
      </c>
      <c r="C165" t="s">
        <v>230</v>
      </c>
      <c r="D165" t="s">
        <v>1488</v>
      </c>
    </row>
    <row r="166" spans="1:4" ht="14.25" hidden="1" customHeight="1">
      <c r="A166" t="s">
        <v>206</v>
      </c>
      <c r="B166">
        <v>25</v>
      </c>
      <c r="C166" t="s">
        <v>231</v>
      </c>
      <c r="D166" t="s">
        <v>1488</v>
      </c>
    </row>
    <row r="167" spans="1:4" ht="14.25" hidden="1" customHeight="1">
      <c r="A167" t="s">
        <v>206</v>
      </c>
      <c r="B167">
        <v>26</v>
      </c>
      <c r="C167" t="s">
        <v>232</v>
      </c>
      <c r="D167" t="s">
        <v>1488</v>
      </c>
    </row>
    <row r="168" spans="1:4" ht="14.25" hidden="1" customHeight="1">
      <c r="A168" t="s">
        <v>206</v>
      </c>
      <c r="B168">
        <v>27</v>
      </c>
      <c r="C168" t="s">
        <v>233</v>
      </c>
      <c r="D168" t="s">
        <v>1488</v>
      </c>
    </row>
    <row r="169" spans="1:4" ht="14.25" hidden="1" customHeight="1">
      <c r="A169" t="s">
        <v>206</v>
      </c>
      <c r="B169">
        <v>28</v>
      </c>
      <c r="C169" t="s">
        <v>234</v>
      </c>
      <c r="D169" t="s">
        <v>1488</v>
      </c>
    </row>
    <row r="170" spans="1:4" ht="14.25" hidden="1" customHeight="1">
      <c r="A170" t="s">
        <v>206</v>
      </c>
      <c r="B170">
        <v>29</v>
      </c>
      <c r="C170" t="s">
        <v>235</v>
      </c>
      <c r="D170" t="s">
        <v>1488</v>
      </c>
    </row>
    <row r="171" spans="1:4" ht="14.25" hidden="1" customHeight="1">
      <c r="A171" t="s">
        <v>206</v>
      </c>
      <c r="B171">
        <v>30</v>
      </c>
      <c r="C171" t="s">
        <v>236</v>
      </c>
      <c r="D171" t="s">
        <v>1488</v>
      </c>
    </row>
    <row r="172" spans="1:4" ht="14.25" hidden="1" customHeight="1">
      <c r="A172" t="s">
        <v>206</v>
      </c>
      <c r="B172">
        <v>31</v>
      </c>
      <c r="C172" t="s">
        <v>237</v>
      </c>
      <c r="D172" t="s">
        <v>1488</v>
      </c>
    </row>
    <row r="173" spans="1:4" ht="14.25" hidden="1" customHeight="1">
      <c r="A173" t="s">
        <v>206</v>
      </c>
      <c r="B173">
        <v>32</v>
      </c>
      <c r="C173" t="s">
        <v>238</v>
      </c>
      <c r="D173" t="s">
        <v>1488</v>
      </c>
    </row>
    <row r="174" spans="1:4" ht="14.25" hidden="1" customHeight="1">
      <c r="A174" t="s">
        <v>206</v>
      </c>
      <c r="B174">
        <v>33</v>
      </c>
      <c r="C174" t="s">
        <v>239</v>
      </c>
      <c r="D174" t="s">
        <v>1488</v>
      </c>
    </row>
    <row r="175" spans="1:4" ht="14.25" hidden="1" customHeight="1">
      <c r="A175" t="s">
        <v>206</v>
      </c>
      <c r="B175">
        <v>34</v>
      </c>
      <c r="C175" t="s">
        <v>240</v>
      </c>
      <c r="D175" t="s">
        <v>1488</v>
      </c>
    </row>
    <row r="176" spans="1:4" ht="14.25" hidden="1" customHeight="1">
      <c r="A176" t="s">
        <v>206</v>
      </c>
      <c r="B176">
        <v>35</v>
      </c>
      <c r="C176" t="s">
        <v>241</v>
      </c>
      <c r="D176" t="s">
        <v>1488</v>
      </c>
    </row>
    <row r="177" spans="1:4" ht="14.25" hidden="1" customHeight="1">
      <c r="A177" t="s">
        <v>206</v>
      </c>
      <c r="B177">
        <v>36</v>
      </c>
      <c r="C177" t="s">
        <v>242</v>
      </c>
      <c r="D177" t="s">
        <v>1488</v>
      </c>
    </row>
    <row r="178" spans="1:4" ht="14.25" hidden="1" customHeight="1">
      <c r="A178" t="s">
        <v>206</v>
      </c>
      <c r="B178">
        <v>37</v>
      </c>
      <c r="C178" t="s">
        <v>243</v>
      </c>
      <c r="D178" t="s">
        <v>1488</v>
      </c>
    </row>
    <row r="179" spans="1:4" ht="14.25" hidden="1" customHeight="1">
      <c r="A179" t="s">
        <v>206</v>
      </c>
      <c r="B179">
        <v>38</v>
      </c>
      <c r="C179" t="s">
        <v>244</v>
      </c>
      <c r="D179" t="s">
        <v>1488</v>
      </c>
    </row>
    <row r="180" spans="1:4" ht="14.25" hidden="1" customHeight="1">
      <c r="A180" t="s">
        <v>206</v>
      </c>
      <c r="B180">
        <v>39</v>
      </c>
      <c r="C180" t="s">
        <v>245</v>
      </c>
      <c r="D180" t="s">
        <v>1488</v>
      </c>
    </row>
    <row r="181" spans="1:4" ht="14.25" hidden="1" customHeight="1">
      <c r="A181" t="s">
        <v>206</v>
      </c>
      <c r="B181">
        <v>40</v>
      </c>
      <c r="C181" t="s">
        <v>246</v>
      </c>
      <c r="D181" t="s">
        <v>1488</v>
      </c>
    </row>
    <row r="182" spans="1:4" ht="14.25" hidden="1" customHeight="1">
      <c r="A182" t="s">
        <v>206</v>
      </c>
      <c r="B182">
        <v>41</v>
      </c>
      <c r="C182" t="s">
        <v>247</v>
      </c>
      <c r="D182" t="s">
        <v>1488</v>
      </c>
    </row>
    <row r="183" spans="1:4" ht="14.25" hidden="1" customHeight="1">
      <c r="A183" t="s">
        <v>206</v>
      </c>
      <c r="B183">
        <v>42</v>
      </c>
      <c r="C183" t="s">
        <v>248</v>
      </c>
      <c r="D183" t="s">
        <v>1488</v>
      </c>
    </row>
    <row r="184" spans="1:4" ht="14.25" hidden="1" customHeight="1">
      <c r="A184" t="s">
        <v>206</v>
      </c>
      <c r="B184">
        <v>43</v>
      </c>
      <c r="C184" t="s">
        <v>249</v>
      </c>
      <c r="D184" t="s">
        <v>1488</v>
      </c>
    </row>
    <row r="185" spans="1:4" ht="14.25" hidden="1" customHeight="1">
      <c r="A185" t="s">
        <v>206</v>
      </c>
      <c r="B185">
        <v>44</v>
      </c>
      <c r="C185" t="s">
        <v>250</v>
      </c>
      <c r="D185" t="s">
        <v>1488</v>
      </c>
    </row>
    <row r="186" spans="1:4" ht="14.25" hidden="1" customHeight="1">
      <c r="A186" t="s">
        <v>206</v>
      </c>
      <c r="B186">
        <v>45</v>
      </c>
      <c r="C186" t="s">
        <v>251</v>
      </c>
      <c r="D186" t="s">
        <v>1488</v>
      </c>
    </row>
    <row r="187" spans="1:4" ht="14.25" hidden="1" customHeight="1">
      <c r="A187" t="s">
        <v>206</v>
      </c>
      <c r="B187">
        <v>46</v>
      </c>
      <c r="C187" t="s">
        <v>252</v>
      </c>
      <c r="D187" t="s">
        <v>1488</v>
      </c>
    </row>
    <row r="188" spans="1:4" ht="14.25" hidden="1" customHeight="1">
      <c r="A188" t="s">
        <v>206</v>
      </c>
      <c r="B188">
        <v>47</v>
      </c>
      <c r="C188" t="s">
        <v>253</v>
      </c>
      <c r="D188" t="s">
        <v>1488</v>
      </c>
    </row>
    <row r="189" spans="1:4" ht="14.25" hidden="1" customHeight="1">
      <c r="A189" t="s">
        <v>206</v>
      </c>
      <c r="B189">
        <v>48</v>
      </c>
      <c r="C189" t="s">
        <v>254</v>
      </c>
      <c r="D189" t="s">
        <v>1488</v>
      </c>
    </row>
    <row r="190" spans="1:4" ht="14.25" hidden="1" customHeight="1">
      <c r="A190" t="s">
        <v>206</v>
      </c>
      <c r="B190">
        <v>49</v>
      </c>
      <c r="C190" t="s">
        <v>255</v>
      </c>
      <c r="D190" t="s">
        <v>1488</v>
      </c>
    </row>
    <row r="191" spans="1:4" ht="14.25" hidden="1" customHeight="1">
      <c r="A191" t="s">
        <v>206</v>
      </c>
      <c r="B191">
        <v>50</v>
      </c>
      <c r="C191" t="s">
        <v>256</v>
      </c>
      <c r="D191" t="s">
        <v>1488</v>
      </c>
    </row>
    <row r="192" spans="1:4" ht="14.25" hidden="1" customHeight="1">
      <c r="A192" t="s">
        <v>206</v>
      </c>
      <c r="B192">
        <v>51</v>
      </c>
      <c r="C192" t="s">
        <v>257</v>
      </c>
      <c r="D192" t="s">
        <v>1488</v>
      </c>
    </row>
    <row r="193" spans="1:4" ht="14.25" hidden="1" customHeight="1">
      <c r="A193" t="s">
        <v>206</v>
      </c>
      <c r="B193">
        <v>52</v>
      </c>
      <c r="C193" t="s">
        <v>258</v>
      </c>
      <c r="D193" t="s">
        <v>1488</v>
      </c>
    </row>
    <row r="194" spans="1:4" ht="14.25" hidden="1" customHeight="1">
      <c r="A194" t="s">
        <v>206</v>
      </c>
      <c r="B194">
        <v>53</v>
      </c>
      <c r="C194" t="s">
        <v>259</v>
      </c>
      <c r="D194" t="s">
        <v>1488</v>
      </c>
    </row>
    <row r="195" spans="1:4" ht="14.25" hidden="1" customHeight="1">
      <c r="A195" t="s">
        <v>206</v>
      </c>
      <c r="B195">
        <v>54</v>
      </c>
      <c r="C195" t="s">
        <v>260</v>
      </c>
      <c r="D195" t="s">
        <v>1488</v>
      </c>
    </row>
    <row r="196" spans="1:4" ht="14.25" hidden="1" customHeight="1">
      <c r="A196" t="s">
        <v>206</v>
      </c>
      <c r="B196">
        <v>55</v>
      </c>
      <c r="C196" t="s">
        <v>261</v>
      </c>
      <c r="D196" t="s">
        <v>1488</v>
      </c>
    </row>
    <row r="197" spans="1:4" ht="14.25" hidden="1" customHeight="1">
      <c r="A197" t="s">
        <v>206</v>
      </c>
      <c r="B197">
        <v>56</v>
      </c>
      <c r="C197" t="s">
        <v>262</v>
      </c>
      <c r="D197" t="s">
        <v>1488</v>
      </c>
    </row>
    <row r="198" spans="1:4" ht="14.25" hidden="1" customHeight="1">
      <c r="A198" t="s">
        <v>206</v>
      </c>
      <c r="B198">
        <v>57</v>
      </c>
      <c r="C198" t="s">
        <v>263</v>
      </c>
      <c r="D198" t="s">
        <v>1488</v>
      </c>
    </row>
    <row r="199" spans="1:4" ht="14.25" hidden="1" customHeight="1">
      <c r="A199" t="s">
        <v>206</v>
      </c>
      <c r="B199">
        <v>58</v>
      </c>
      <c r="C199" t="s">
        <v>264</v>
      </c>
      <c r="D199" t="s">
        <v>1488</v>
      </c>
    </row>
    <row r="200" spans="1:4" ht="14.25" hidden="1" customHeight="1">
      <c r="A200" t="s">
        <v>206</v>
      </c>
      <c r="B200">
        <v>59</v>
      </c>
      <c r="C200" t="s">
        <v>265</v>
      </c>
      <c r="D200" t="s">
        <v>1488</v>
      </c>
    </row>
    <row r="201" spans="1:4" ht="14.25" hidden="1" customHeight="1">
      <c r="A201" t="s">
        <v>206</v>
      </c>
      <c r="B201">
        <v>60</v>
      </c>
      <c r="C201" t="s">
        <v>266</v>
      </c>
      <c r="D201" t="s">
        <v>1488</v>
      </c>
    </row>
    <row r="202" spans="1:4" ht="14.25" hidden="1" customHeight="1">
      <c r="A202" t="s">
        <v>206</v>
      </c>
      <c r="B202">
        <v>61</v>
      </c>
      <c r="C202" t="s">
        <v>267</v>
      </c>
      <c r="D202" t="s">
        <v>1488</v>
      </c>
    </row>
    <row r="203" spans="1:4" ht="14.25" hidden="1" customHeight="1">
      <c r="A203" t="s">
        <v>206</v>
      </c>
      <c r="B203">
        <v>62</v>
      </c>
      <c r="C203" t="s">
        <v>268</v>
      </c>
      <c r="D203" t="s">
        <v>1488</v>
      </c>
    </row>
    <row r="204" spans="1:4" ht="14.25" hidden="1" customHeight="1">
      <c r="A204" t="s">
        <v>206</v>
      </c>
      <c r="B204">
        <v>63</v>
      </c>
      <c r="C204" t="s">
        <v>269</v>
      </c>
      <c r="D204" t="s">
        <v>1488</v>
      </c>
    </row>
    <row r="205" spans="1:4" ht="14.25" hidden="1" customHeight="1">
      <c r="A205" t="s">
        <v>206</v>
      </c>
      <c r="B205">
        <v>64</v>
      </c>
      <c r="C205" t="s">
        <v>270</v>
      </c>
      <c r="D205" t="s">
        <v>1488</v>
      </c>
    </row>
    <row r="206" spans="1:4" ht="14.25" hidden="1" customHeight="1">
      <c r="A206" t="s">
        <v>206</v>
      </c>
      <c r="B206">
        <v>65</v>
      </c>
      <c r="C206" t="s">
        <v>271</v>
      </c>
      <c r="D206" t="s">
        <v>1488</v>
      </c>
    </row>
    <row r="207" spans="1:4" ht="14.25" hidden="1" customHeight="1">
      <c r="A207" t="s">
        <v>206</v>
      </c>
      <c r="B207">
        <v>66</v>
      </c>
      <c r="C207" t="s">
        <v>272</v>
      </c>
      <c r="D207" t="s">
        <v>1488</v>
      </c>
    </row>
    <row r="208" spans="1:4" ht="14.25" hidden="1" customHeight="1">
      <c r="A208" t="s">
        <v>206</v>
      </c>
      <c r="B208">
        <v>67</v>
      </c>
      <c r="C208" t="s">
        <v>273</v>
      </c>
      <c r="D208" t="s">
        <v>1488</v>
      </c>
    </row>
    <row r="209" spans="1:4" ht="14.25" hidden="1" customHeight="1">
      <c r="A209" t="s">
        <v>206</v>
      </c>
      <c r="B209">
        <v>68</v>
      </c>
      <c r="C209" t="s">
        <v>274</v>
      </c>
      <c r="D209" t="s">
        <v>1488</v>
      </c>
    </row>
    <row r="210" spans="1:4" ht="14.25" hidden="1" customHeight="1">
      <c r="A210" t="s">
        <v>206</v>
      </c>
      <c r="B210">
        <v>69</v>
      </c>
      <c r="C210" t="s">
        <v>275</v>
      </c>
      <c r="D210" t="s">
        <v>1488</v>
      </c>
    </row>
    <row r="211" spans="1:4" ht="14.25" hidden="1" customHeight="1">
      <c r="A211" t="s">
        <v>206</v>
      </c>
      <c r="B211">
        <v>70</v>
      </c>
      <c r="C211" t="s">
        <v>276</v>
      </c>
      <c r="D211" t="s">
        <v>1488</v>
      </c>
    </row>
    <row r="212" spans="1:4" ht="14.25" hidden="1" customHeight="1">
      <c r="A212" t="s">
        <v>206</v>
      </c>
      <c r="B212">
        <v>71</v>
      </c>
      <c r="C212" t="s">
        <v>277</v>
      </c>
      <c r="D212" t="s">
        <v>1488</v>
      </c>
    </row>
    <row r="213" spans="1:4" ht="14.25" hidden="1" customHeight="1">
      <c r="A213" t="s">
        <v>206</v>
      </c>
      <c r="B213">
        <v>72</v>
      </c>
      <c r="C213" t="s">
        <v>278</v>
      </c>
      <c r="D213" t="s">
        <v>1488</v>
      </c>
    </row>
    <row r="214" spans="1:4" ht="14.25" hidden="1" customHeight="1">
      <c r="A214" t="s">
        <v>206</v>
      </c>
      <c r="B214">
        <v>73</v>
      </c>
      <c r="C214" t="s">
        <v>279</v>
      </c>
      <c r="D214" t="s">
        <v>1488</v>
      </c>
    </row>
    <row r="215" spans="1:4" ht="14.25" hidden="1" customHeight="1">
      <c r="A215" t="s">
        <v>206</v>
      </c>
      <c r="B215">
        <v>74</v>
      </c>
      <c r="C215" t="s">
        <v>280</v>
      </c>
      <c r="D215" t="s">
        <v>1488</v>
      </c>
    </row>
    <row r="216" spans="1:4" ht="14.25" hidden="1" customHeight="1">
      <c r="A216" t="s">
        <v>206</v>
      </c>
      <c r="B216">
        <v>75</v>
      </c>
      <c r="C216" t="s">
        <v>281</v>
      </c>
      <c r="D216" t="s">
        <v>1488</v>
      </c>
    </row>
    <row r="217" spans="1:4" ht="14.25" hidden="1" customHeight="1">
      <c r="A217" t="s">
        <v>206</v>
      </c>
      <c r="B217">
        <v>76</v>
      </c>
      <c r="C217" t="s">
        <v>282</v>
      </c>
      <c r="D217" t="s">
        <v>1488</v>
      </c>
    </row>
    <row r="218" spans="1:4" ht="14.25" hidden="1" customHeight="1">
      <c r="A218" t="s">
        <v>206</v>
      </c>
      <c r="B218">
        <v>77</v>
      </c>
      <c r="C218" t="s">
        <v>283</v>
      </c>
      <c r="D218" t="s">
        <v>1488</v>
      </c>
    </row>
    <row r="219" spans="1:4" ht="14.25" hidden="1" customHeight="1">
      <c r="A219" t="s">
        <v>206</v>
      </c>
      <c r="B219">
        <v>78</v>
      </c>
      <c r="C219" t="s">
        <v>1491</v>
      </c>
      <c r="D219" t="s">
        <v>1488</v>
      </c>
    </row>
    <row r="220" spans="1:4" ht="14.25" hidden="1" customHeight="1">
      <c r="A220" t="s">
        <v>206</v>
      </c>
      <c r="B220">
        <v>79</v>
      </c>
      <c r="C220" t="s">
        <v>285</v>
      </c>
      <c r="D220" t="s">
        <v>1488</v>
      </c>
    </row>
    <row r="221" spans="1:4" ht="14.25" hidden="1" customHeight="1">
      <c r="A221" t="s">
        <v>206</v>
      </c>
      <c r="B221">
        <v>80</v>
      </c>
      <c r="C221" t="s">
        <v>286</v>
      </c>
      <c r="D221" t="s">
        <v>1488</v>
      </c>
    </row>
    <row r="222" spans="1:4" ht="14.25" hidden="1" customHeight="1">
      <c r="A222" t="s">
        <v>206</v>
      </c>
      <c r="B222">
        <v>81</v>
      </c>
      <c r="C222" t="s">
        <v>287</v>
      </c>
      <c r="D222" t="s">
        <v>1488</v>
      </c>
    </row>
    <row r="223" spans="1:4" ht="14.25" hidden="1" customHeight="1">
      <c r="A223" t="s">
        <v>206</v>
      </c>
      <c r="B223">
        <v>82</v>
      </c>
      <c r="C223" t="s">
        <v>288</v>
      </c>
      <c r="D223" t="s">
        <v>1488</v>
      </c>
    </row>
    <row r="224" spans="1:4" ht="14.25" hidden="1" customHeight="1">
      <c r="A224" t="s">
        <v>206</v>
      </c>
      <c r="B224">
        <v>83</v>
      </c>
      <c r="C224" t="s">
        <v>289</v>
      </c>
      <c r="D224" t="s">
        <v>1488</v>
      </c>
    </row>
    <row r="225" spans="1:4" ht="14.25" hidden="1" customHeight="1">
      <c r="A225" t="s">
        <v>206</v>
      </c>
      <c r="B225">
        <v>84</v>
      </c>
      <c r="C225" t="s">
        <v>290</v>
      </c>
      <c r="D225" t="s">
        <v>1488</v>
      </c>
    </row>
    <row r="226" spans="1:4" ht="14.25" hidden="1" customHeight="1">
      <c r="A226" t="s">
        <v>206</v>
      </c>
      <c r="B226">
        <v>85</v>
      </c>
      <c r="C226" t="s">
        <v>291</v>
      </c>
      <c r="D226" t="s">
        <v>1488</v>
      </c>
    </row>
    <row r="227" spans="1:4" ht="14.25" hidden="1" customHeight="1">
      <c r="A227" t="s">
        <v>206</v>
      </c>
      <c r="B227">
        <v>86</v>
      </c>
      <c r="C227" t="s">
        <v>292</v>
      </c>
      <c r="D227" t="s">
        <v>1488</v>
      </c>
    </row>
    <row r="228" spans="1:4" ht="14.25" hidden="1" customHeight="1">
      <c r="A228" t="s">
        <v>206</v>
      </c>
      <c r="B228">
        <v>87</v>
      </c>
      <c r="C228" t="s">
        <v>293</v>
      </c>
      <c r="D228" t="s">
        <v>1488</v>
      </c>
    </row>
    <row r="229" spans="1:4" ht="14.25" hidden="1" customHeight="1">
      <c r="A229" t="s">
        <v>206</v>
      </c>
      <c r="B229">
        <v>88</v>
      </c>
      <c r="C229" t="s">
        <v>294</v>
      </c>
      <c r="D229" t="s">
        <v>1488</v>
      </c>
    </row>
    <row r="230" spans="1:4" ht="14.25" hidden="1" customHeight="1">
      <c r="A230" t="s">
        <v>206</v>
      </c>
      <c r="B230">
        <v>89</v>
      </c>
      <c r="C230" t="s">
        <v>295</v>
      </c>
      <c r="D230" t="s">
        <v>1488</v>
      </c>
    </row>
    <row r="231" spans="1:4" ht="14.25" hidden="1" customHeight="1">
      <c r="A231" t="s">
        <v>206</v>
      </c>
      <c r="B231">
        <v>90</v>
      </c>
      <c r="C231" t="s">
        <v>296</v>
      </c>
      <c r="D231" t="s">
        <v>1488</v>
      </c>
    </row>
    <row r="232" spans="1:4" ht="14.25" hidden="1" customHeight="1">
      <c r="A232" t="s">
        <v>206</v>
      </c>
      <c r="B232">
        <v>91</v>
      </c>
      <c r="C232" t="s">
        <v>297</v>
      </c>
      <c r="D232" t="s">
        <v>1488</v>
      </c>
    </row>
    <row r="233" spans="1:4" ht="14.25" hidden="1" customHeight="1">
      <c r="A233" t="s">
        <v>206</v>
      </c>
      <c r="B233">
        <v>92</v>
      </c>
      <c r="C233" t="s">
        <v>298</v>
      </c>
      <c r="D233" t="s">
        <v>1488</v>
      </c>
    </row>
    <row r="234" spans="1:4" ht="14.25" hidden="1" customHeight="1">
      <c r="A234" t="s">
        <v>206</v>
      </c>
      <c r="B234">
        <v>93</v>
      </c>
      <c r="C234" t="s">
        <v>299</v>
      </c>
      <c r="D234" t="s">
        <v>1488</v>
      </c>
    </row>
    <row r="235" spans="1:4" ht="14.25" hidden="1" customHeight="1">
      <c r="A235" t="s">
        <v>206</v>
      </c>
      <c r="B235">
        <v>94</v>
      </c>
      <c r="C235" t="s">
        <v>300</v>
      </c>
      <c r="D235" t="s">
        <v>1488</v>
      </c>
    </row>
    <row r="236" spans="1:4" ht="14.25" hidden="1" customHeight="1">
      <c r="A236" t="s">
        <v>206</v>
      </c>
      <c r="B236">
        <v>95</v>
      </c>
      <c r="C236" t="s">
        <v>301</v>
      </c>
      <c r="D236" t="s">
        <v>1488</v>
      </c>
    </row>
    <row r="237" spans="1:4" ht="14.25" hidden="1" customHeight="1">
      <c r="A237" t="s">
        <v>206</v>
      </c>
      <c r="B237">
        <v>96</v>
      </c>
      <c r="C237" t="s">
        <v>302</v>
      </c>
      <c r="D237" t="s">
        <v>1488</v>
      </c>
    </row>
    <row r="238" spans="1:4" ht="14.25" hidden="1" customHeight="1">
      <c r="A238" t="s">
        <v>206</v>
      </c>
      <c r="B238">
        <v>97</v>
      </c>
      <c r="C238" t="s">
        <v>303</v>
      </c>
      <c r="D238" t="s">
        <v>1488</v>
      </c>
    </row>
    <row r="239" spans="1:4" ht="14.25" hidden="1" customHeight="1">
      <c r="A239" t="s">
        <v>206</v>
      </c>
      <c r="B239">
        <v>98</v>
      </c>
      <c r="C239" t="s">
        <v>304</v>
      </c>
      <c r="D239" t="s">
        <v>1488</v>
      </c>
    </row>
    <row r="240" spans="1:4" ht="14.25" hidden="1" customHeight="1">
      <c r="A240" t="s">
        <v>206</v>
      </c>
      <c r="B240">
        <v>99</v>
      </c>
      <c r="C240" t="s">
        <v>305</v>
      </c>
      <c r="D240" t="s">
        <v>1488</v>
      </c>
    </row>
    <row r="241" spans="1:4" ht="14.25" hidden="1" customHeight="1">
      <c r="A241" t="s">
        <v>206</v>
      </c>
      <c r="B241">
        <v>100</v>
      </c>
      <c r="C241" t="s">
        <v>306</v>
      </c>
      <c r="D241" t="s">
        <v>1488</v>
      </c>
    </row>
    <row r="242" spans="1:4" ht="14.25" hidden="1" customHeight="1">
      <c r="A242" t="s">
        <v>206</v>
      </c>
      <c r="B242">
        <v>101</v>
      </c>
      <c r="C242" t="s">
        <v>307</v>
      </c>
      <c r="D242" t="s">
        <v>1488</v>
      </c>
    </row>
    <row r="243" spans="1:4" ht="14.25" hidden="1" customHeight="1">
      <c r="A243" t="s">
        <v>206</v>
      </c>
      <c r="B243">
        <v>102</v>
      </c>
      <c r="C243" t="s">
        <v>308</v>
      </c>
      <c r="D243" t="s">
        <v>1488</v>
      </c>
    </row>
    <row r="244" spans="1:4" ht="14.25" hidden="1" customHeight="1">
      <c r="A244" t="s">
        <v>206</v>
      </c>
      <c r="B244">
        <v>103</v>
      </c>
      <c r="C244" t="s">
        <v>309</v>
      </c>
      <c r="D244" t="s">
        <v>1488</v>
      </c>
    </row>
    <row r="245" spans="1:4" ht="14.25" hidden="1" customHeight="1">
      <c r="A245" t="s">
        <v>206</v>
      </c>
      <c r="B245">
        <v>104</v>
      </c>
      <c r="C245" t="s">
        <v>310</v>
      </c>
      <c r="D245" t="s">
        <v>1488</v>
      </c>
    </row>
    <row r="246" spans="1:4" ht="14.25" hidden="1" customHeight="1">
      <c r="A246" t="s">
        <v>206</v>
      </c>
      <c r="B246">
        <v>105</v>
      </c>
      <c r="C246" t="s">
        <v>311</v>
      </c>
      <c r="D246" t="s">
        <v>1488</v>
      </c>
    </row>
    <row r="247" spans="1:4" ht="14.25" hidden="1" customHeight="1">
      <c r="A247" t="s">
        <v>206</v>
      </c>
      <c r="B247">
        <v>106</v>
      </c>
      <c r="C247" t="s">
        <v>312</v>
      </c>
      <c r="D247" t="s">
        <v>1488</v>
      </c>
    </row>
    <row r="248" spans="1:4" ht="14.25" hidden="1" customHeight="1">
      <c r="A248" t="s">
        <v>206</v>
      </c>
      <c r="B248">
        <v>107</v>
      </c>
      <c r="C248" t="s">
        <v>313</v>
      </c>
      <c r="D248" t="s">
        <v>1488</v>
      </c>
    </row>
    <row r="249" spans="1:4" ht="14.25" hidden="1" customHeight="1">
      <c r="A249" t="s">
        <v>206</v>
      </c>
      <c r="B249">
        <v>108</v>
      </c>
      <c r="C249" t="s">
        <v>314</v>
      </c>
      <c r="D249" t="s">
        <v>1488</v>
      </c>
    </row>
    <row r="250" spans="1:4" ht="14.25" hidden="1" customHeight="1">
      <c r="A250" t="s">
        <v>206</v>
      </c>
      <c r="B250">
        <v>109</v>
      </c>
      <c r="C250" t="s">
        <v>315</v>
      </c>
      <c r="D250" t="s">
        <v>1488</v>
      </c>
    </row>
    <row r="251" spans="1:4" ht="14.25" hidden="1" customHeight="1">
      <c r="A251" t="s">
        <v>206</v>
      </c>
      <c r="B251">
        <v>110</v>
      </c>
      <c r="C251" t="s">
        <v>316</v>
      </c>
      <c r="D251" t="s">
        <v>1488</v>
      </c>
    </row>
    <row r="252" spans="1:4" ht="14.25" hidden="1" customHeight="1">
      <c r="A252" t="s">
        <v>206</v>
      </c>
      <c r="B252">
        <v>111</v>
      </c>
      <c r="C252" t="s">
        <v>317</v>
      </c>
      <c r="D252" t="s">
        <v>1488</v>
      </c>
    </row>
    <row r="253" spans="1:4" ht="14.25" hidden="1" customHeight="1">
      <c r="A253" t="s">
        <v>206</v>
      </c>
      <c r="B253">
        <v>112</v>
      </c>
      <c r="C253" t="s">
        <v>318</v>
      </c>
      <c r="D253" t="s">
        <v>1488</v>
      </c>
    </row>
    <row r="254" spans="1:4" ht="14.25" hidden="1" customHeight="1">
      <c r="A254" t="s">
        <v>206</v>
      </c>
      <c r="B254">
        <v>113</v>
      </c>
      <c r="C254" t="s">
        <v>319</v>
      </c>
      <c r="D254" t="s">
        <v>1488</v>
      </c>
    </row>
    <row r="255" spans="1:4" ht="14.25" hidden="1" customHeight="1">
      <c r="A255" t="s">
        <v>206</v>
      </c>
      <c r="B255">
        <v>114</v>
      </c>
      <c r="C255" t="s">
        <v>320</v>
      </c>
      <c r="D255" t="s">
        <v>1488</v>
      </c>
    </row>
    <row r="256" spans="1:4" ht="14.25" hidden="1" customHeight="1">
      <c r="A256" t="s">
        <v>206</v>
      </c>
      <c r="B256">
        <v>115</v>
      </c>
      <c r="C256" t="s">
        <v>321</v>
      </c>
      <c r="D256" t="s">
        <v>1488</v>
      </c>
    </row>
    <row r="257" spans="1:4" ht="14.25" hidden="1" customHeight="1">
      <c r="A257" t="s">
        <v>206</v>
      </c>
      <c r="B257">
        <v>116</v>
      </c>
      <c r="C257" t="s">
        <v>322</v>
      </c>
      <c r="D257" t="s">
        <v>1488</v>
      </c>
    </row>
    <row r="258" spans="1:4" ht="14.25" hidden="1" customHeight="1">
      <c r="A258" t="s">
        <v>206</v>
      </c>
      <c r="B258">
        <v>117</v>
      </c>
      <c r="C258" t="s">
        <v>323</v>
      </c>
      <c r="D258" t="s">
        <v>1488</v>
      </c>
    </row>
    <row r="259" spans="1:4" ht="14.25" hidden="1" customHeight="1">
      <c r="A259" t="s">
        <v>206</v>
      </c>
      <c r="B259">
        <v>118</v>
      </c>
      <c r="C259" t="s">
        <v>324</v>
      </c>
      <c r="D259" t="s">
        <v>1488</v>
      </c>
    </row>
    <row r="260" spans="1:4" ht="14.25" hidden="1" customHeight="1">
      <c r="A260" t="s">
        <v>206</v>
      </c>
      <c r="B260">
        <v>119</v>
      </c>
      <c r="C260" t="s">
        <v>325</v>
      </c>
      <c r="D260" t="s">
        <v>1488</v>
      </c>
    </row>
    <row r="261" spans="1:4" ht="14.25" hidden="1" customHeight="1">
      <c r="A261" t="s">
        <v>206</v>
      </c>
      <c r="B261">
        <v>120</v>
      </c>
      <c r="C261" t="s">
        <v>326</v>
      </c>
      <c r="D261" t="s">
        <v>1488</v>
      </c>
    </row>
    <row r="262" spans="1:4" ht="14.25" hidden="1" customHeight="1">
      <c r="A262" t="s">
        <v>327</v>
      </c>
      <c r="B262">
        <v>1</v>
      </c>
      <c r="C262" t="s">
        <v>328</v>
      </c>
      <c r="D262" t="s">
        <v>1488</v>
      </c>
    </row>
    <row r="263" spans="1:4" ht="14.25" hidden="1" customHeight="1">
      <c r="A263" t="s">
        <v>327</v>
      </c>
      <c r="B263">
        <v>2</v>
      </c>
      <c r="C263" t="s">
        <v>329</v>
      </c>
      <c r="D263" t="s">
        <v>1488</v>
      </c>
    </row>
    <row r="264" spans="1:4" ht="14.25" hidden="1" customHeight="1">
      <c r="A264" t="s">
        <v>327</v>
      </c>
      <c r="B264">
        <v>3</v>
      </c>
      <c r="C264" t="s">
        <v>330</v>
      </c>
      <c r="D264" t="s">
        <v>1487</v>
      </c>
    </row>
    <row r="265" spans="1:4" ht="14.25" hidden="1" customHeight="1">
      <c r="A265" t="s">
        <v>327</v>
      </c>
      <c r="B265">
        <v>4</v>
      </c>
      <c r="C265" t="s">
        <v>331</v>
      </c>
      <c r="D265" t="s">
        <v>1488</v>
      </c>
    </row>
    <row r="266" spans="1:4" ht="14.25" hidden="1" customHeight="1">
      <c r="A266" t="s">
        <v>327</v>
      </c>
      <c r="B266">
        <v>5</v>
      </c>
      <c r="C266" t="s">
        <v>332</v>
      </c>
      <c r="D266" t="s">
        <v>1488</v>
      </c>
    </row>
    <row r="267" spans="1:4" ht="14.25" hidden="1" customHeight="1">
      <c r="A267" t="s">
        <v>327</v>
      </c>
      <c r="B267">
        <v>6</v>
      </c>
      <c r="C267" t="s">
        <v>333</v>
      </c>
      <c r="D267" t="s">
        <v>1487</v>
      </c>
    </row>
    <row r="268" spans="1:4" ht="14.25" hidden="1" customHeight="1">
      <c r="A268" t="s">
        <v>327</v>
      </c>
      <c r="B268">
        <v>7</v>
      </c>
      <c r="C268" t="s">
        <v>334</v>
      </c>
      <c r="D268" t="s">
        <v>1488</v>
      </c>
    </row>
    <row r="269" spans="1:4" ht="14.25" hidden="1" customHeight="1">
      <c r="A269" t="s">
        <v>327</v>
      </c>
      <c r="B269">
        <v>8</v>
      </c>
      <c r="C269" t="s">
        <v>335</v>
      </c>
      <c r="D269" t="s">
        <v>1488</v>
      </c>
    </row>
    <row r="270" spans="1:4" ht="14.25" hidden="1" customHeight="1">
      <c r="A270" t="s">
        <v>327</v>
      </c>
      <c r="B270">
        <v>9</v>
      </c>
      <c r="C270" t="s">
        <v>336</v>
      </c>
      <c r="D270" t="s">
        <v>1487</v>
      </c>
    </row>
    <row r="271" spans="1:4" ht="14.25" hidden="1" customHeight="1">
      <c r="A271" t="s">
        <v>327</v>
      </c>
      <c r="B271">
        <v>10</v>
      </c>
      <c r="C271" t="s">
        <v>337</v>
      </c>
      <c r="D271" t="s">
        <v>1488</v>
      </c>
    </row>
    <row r="272" spans="1:4" ht="14.25" hidden="1" customHeight="1">
      <c r="A272" t="s">
        <v>327</v>
      </c>
      <c r="B272">
        <v>11</v>
      </c>
      <c r="C272" t="s">
        <v>338</v>
      </c>
      <c r="D272" t="s">
        <v>1488</v>
      </c>
    </row>
    <row r="273" spans="1:4" ht="14.25" hidden="1" customHeight="1">
      <c r="A273" t="s">
        <v>327</v>
      </c>
      <c r="B273">
        <v>12</v>
      </c>
      <c r="C273" t="s">
        <v>339</v>
      </c>
      <c r="D273" t="s">
        <v>1488</v>
      </c>
    </row>
    <row r="274" spans="1:4" ht="14.25" hidden="1" customHeight="1">
      <c r="A274" t="s">
        <v>327</v>
      </c>
      <c r="B274">
        <v>13</v>
      </c>
      <c r="C274" t="s">
        <v>340</v>
      </c>
      <c r="D274" t="s">
        <v>1488</v>
      </c>
    </row>
    <row r="275" spans="1:4" ht="14.25" hidden="1" customHeight="1">
      <c r="A275" t="s">
        <v>327</v>
      </c>
      <c r="B275">
        <v>14</v>
      </c>
      <c r="C275" t="s">
        <v>341</v>
      </c>
      <c r="D275" t="s">
        <v>1488</v>
      </c>
    </row>
    <row r="276" spans="1:4" ht="14.25" hidden="1" customHeight="1">
      <c r="A276" t="s">
        <v>327</v>
      </c>
      <c r="B276">
        <v>15</v>
      </c>
      <c r="C276" t="s">
        <v>342</v>
      </c>
      <c r="D276" t="s">
        <v>1487</v>
      </c>
    </row>
    <row r="277" spans="1:4" ht="14.25" hidden="1" customHeight="1">
      <c r="A277" t="s">
        <v>327</v>
      </c>
      <c r="B277">
        <v>16</v>
      </c>
      <c r="C277" t="s">
        <v>343</v>
      </c>
      <c r="D277" t="s">
        <v>1488</v>
      </c>
    </row>
    <row r="278" spans="1:4" ht="14.25" hidden="1" customHeight="1">
      <c r="A278" t="s">
        <v>327</v>
      </c>
      <c r="B278">
        <v>17</v>
      </c>
      <c r="C278" t="s">
        <v>344</v>
      </c>
      <c r="D278" t="s">
        <v>1488</v>
      </c>
    </row>
    <row r="279" spans="1:4" ht="14.25" hidden="1" customHeight="1">
      <c r="A279" t="s">
        <v>327</v>
      </c>
      <c r="B279">
        <v>18</v>
      </c>
      <c r="C279" t="s">
        <v>345</v>
      </c>
      <c r="D279" t="s">
        <v>1487</v>
      </c>
    </row>
    <row r="280" spans="1:4" ht="14.25" hidden="1" customHeight="1">
      <c r="A280" t="s">
        <v>327</v>
      </c>
      <c r="B280">
        <v>19</v>
      </c>
      <c r="C280" t="s">
        <v>346</v>
      </c>
      <c r="D280" t="s">
        <v>1488</v>
      </c>
    </row>
    <row r="281" spans="1:4" ht="14.25" hidden="1" customHeight="1">
      <c r="A281" t="s">
        <v>327</v>
      </c>
      <c r="B281">
        <v>20</v>
      </c>
      <c r="C281" t="s">
        <v>347</v>
      </c>
      <c r="D281" t="s">
        <v>1488</v>
      </c>
    </row>
    <row r="282" spans="1:4" ht="14.25" hidden="1" customHeight="1">
      <c r="A282" t="s">
        <v>348</v>
      </c>
      <c r="B282">
        <v>1</v>
      </c>
      <c r="C282" t="s">
        <v>349</v>
      </c>
      <c r="D282" t="s">
        <v>1488</v>
      </c>
    </row>
    <row r="283" spans="1:4" ht="14.25" hidden="1" customHeight="1">
      <c r="A283" t="s">
        <v>348</v>
      </c>
      <c r="B283">
        <v>2</v>
      </c>
      <c r="C283" t="s">
        <v>350</v>
      </c>
      <c r="D283" t="s">
        <v>1488</v>
      </c>
    </row>
    <row r="284" spans="1:4" ht="14.25" hidden="1" customHeight="1">
      <c r="A284" t="s">
        <v>348</v>
      </c>
      <c r="B284">
        <v>3</v>
      </c>
      <c r="C284" t="s">
        <v>1492</v>
      </c>
      <c r="D284" t="s">
        <v>1487</v>
      </c>
    </row>
    <row r="285" spans="1:4" ht="14.25" hidden="1" customHeight="1">
      <c r="A285" t="s">
        <v>348</v>
      </c>
      <c r="B285">
        <v>4</v>
      </c>
      <c r="C285" t="s">
        <v>352</v>
      </c>
      <c r="D285" t="s">
        <v>1488</v>
      </c>
    </row>
    <row r="286" spans="1:4" ht="14.25" hidden="1" customHeight="1">
      <c r="A286" t="s">
        <v>348</v>
      </c>
      <c r="B286">
        <v>5</v>
      </c>
      <c r="C286" t="s">
        <v>1493</v>
      </c>
      <c r="D286" t="s">
        <v>1488</v>
      </c>
    </row>
    <row r="287" spans="1:4" ht="14.25" hidden="1" customHeight="1">
      <c r="A287" t="s">
        <v>348</v>
      </c>
      <c r="B287">
        <v>6</v>
      </c>
      <c r="C287" t="s">
        <v>354</v>
      </c>
      <c r="D287" t="s">
        <v>1488</v>
      </c>
    </row>
    <row r="288" spans="1:4" ht="14.25" hidden="1" customHeight="1">
      <c r="A288" t="s">
        <v>348</v>
      </c>
      <c r="B288">
        <v>7</v>
      </c>
      <c r="C288" t="s">
        <v>355</v>
      </c>
      <c r="D288" t="s">
        <v>1488</v>
      </c>
    </row>
    <row r="289" spans="1:4" ht="14.25" hidden="1" customHeight="1">
      <c r="A289" t="s">
        <v>348</v>
      </c>
      <c r="B289">
        <v>8</v>
      </c>
      <c r="C289" t="s">
        <v>1494</v>
      </c>
      <c r="D289" t="s">
        <v>1488</v>
      </c>
    </row>
    <row r="290" spans="1:4" ht="14.25" hidden="1" customHeight="1">
      <c r="A290" t="s">
        <v>348</v>
      </c>
      <c r="B290">
        <v>9</v>
      </c>
      <c r="C290" t="s">
        <v>1495</v>
      </c>
      <c r="D290" t="s">
        <v>1487</v>
      </c>
    </row>
    <row r="291" spans="1:4" ht="14.25" hidden="1" customHeight="1">
      <c r="A291" t="s">
        <v>348</v>
      </c>
      <c r="B291">
        <v>10</v>
      </c>
      <c r="C291" t="s">
        <v>358</v>
      </c>
      <c r="D291" t="s">
        <v>1488</v>
      </c>
    </row>
    <row r="292" spans="1:4" ht="14.25" hidden="1" customHeight="1">
      <c r="A292" t="s">
        <v>348</v>
      </c>
      <c r="B292">
        <v>11</v>
      </c>
      <c r="C292" t="s">
        <v>359</v>
      </c>
      <c r="D292" t="s">
        <v>1487</v>
      </c>
    </row>
    <row r="293" spans="1:4" ht="14.25" hidden="1" customHeight="1">
      <c r="A293" t="s">
        <v>348</v>
      </c>
      <c r="B293">
        <v>12</v>
      </c>
      <c r="C293" t="s">
        <v>1496</v>
      </c>
      <c r="D293" t="s">
        <v>1487</v>
      </c>
    </row>
    <row r="294" spans="1:4" ht="14.25" hidden="1" customHeight="1">
      <c r="A294" t="s">
        <v>348</v>
      </c>
      <c r="B294">
        <v>13</v>
      </c>
      <c r="C294" t="s">
        <v>1497</v>
      </c>
      <c r="D294" t="s">
        <v>1488</v>
      </c>
    </row>
    <row r="295" spans="1:4" ht="14.25" hidden="1" customHeight="1">
      <c r="A295" t="s">
        <v>348</v>
      </c>
      <c r="B295">
        <v>14</v>
      </c>
      <c r="C295" t="s">
        <v>1498</v>
      </c>
      <c r="D295" t="s">
        <v>1488</v>
      </c>
    </row>
    <row r="296" spans="1:4" ht="14.25" hidden="1" customHeight="1">
      <c r="A296" t="s">
        <v>348</v>
      </c>
      <c r="B296">
        <v>15</v>
      </c>
      <c r="C296" t="s">
        <v>363</v>
      </c>
      <c r="D296" t="s">
        <v>1488</v>
      </c>
    </row>
    <row r="297" spans="1:4" ht="14.25" hidden="1" customHeight="1">
      <c r="A297" t="s">
        <v>348</v>
      </c>
      <c r="B297">
        <v>16</v>
      </c>
      <c r="C297" t="s">
        <v>364</v>
      </c>
      <c r="D297" t="s">
        <v>1488</v>
      </c>
    </row>
    <row r="298" spans="1:4" ht="14.25" hidden="1" customHeight="1">
      <c r="A298" t="s">
        <v>348</v>
      </c>
      <c r="B298">
        <v>17</v>
      </c>
      <c r="C298" t="s">
        <v>365</v>
      </c>
      <c r="D298" t="s">
        <v>1488</v>
      </c>
    </row>
    <row r="299" spans="1:4" ht="14.25" hidden="1" customHeight="1">
      <c r="A299" t="s">
        <v>348</v>
      </c>
      <c r="B299">
        <v>18</v>
      </c>
      <c r="C299" t="s">
        <v>366</v>
      </c>
      <c r="D299" t="s">
        <v>1488</v>
      </c>
    </row>
    <row r="300" spans="1:4" ht="14.25" hidden="1" customHeight="1">
      <c r="A300" t="s">
        <v>348</v>
      </c>
      <c r="B300">
        <v>19</v>
      </c>
      <c r="C300" t="s">
        <v>367</v>
      </c>
      <c r="D300" t="s">
        <v>1488</v>
      </c>
    </row>
    <row r="301" spans="1:4" ht="14.25" hidden="1" customHeight="1">
      <c r="A301" t="s">
        <v>348</v>
      </c>
      <c r="B301">
        <v>20</v>
      </c>
      <c r="C301" t="s">
        <v>368</v>
      </c>
      <c r="D301" t="s">
        <v>1488</v>
      </c>
    </row>
    <row r="302" spans="1:4" ht="14.25" hidden="1" customHeight="1">
      <c r="A302" t="s">
        <v>348</v>
      </c>
      <c r="B302">
        <v>21</v>
      </c>
      <c r="C302" t="s">
        <v>369</v>
      </c>
      <c r="D302" t="s">
        <v>1488</v>
      </c>
    </row>
    <row r="303" spans="1:4" ht="14.25" hidden="1" customHeight="1">
      <c r="A303" t="s">
        <v>348</v>
      </c>
      <c r="B303">
        <v>22</v>
      </c>
      <c r="C303" t="s">
        <v>370</v>
      </c>
      <c r="D303" t="s">
        <v>1487</v>
      </c>
    </row>
    <row r="304" spans="1:4" ht="14.25" hidden="1" customHeight="1">
      <c r="A304" t="s">
        <v>348</v>
      </c>
      <c r="B304">
        <v>23</v>
      </c>
      <c r="C304" t="s">
        <v>371</v>
      </c>
      <c r="D304" t="s">
        <v>1488</v>
      </c>
    </row>
    <row r="305" spans="1:4" ht="14.25" hidden="1" customHeight="1">
      <c r="A305" t="s">
        <v>348</v>
      </c>
      <c r="B305">
        <v>24</v>
      </c>
      <c r="C305" t="s">
        <v>372</v>
      </c>
      <c r="D305" t="s">
        <v>1488</v>
      </c>
    </row>
    <row r="306" spans="1:4" ht="14.25" hidden="1" customHeight="1">
      <c r="A306" t="s">
        <v>348</v>
      </c>
      <c r="B306">
        <v>25</v>
      </c>
      <c r="C306" t="s">
        <v>373</v>
      </c>
      <c r="D306" t="s">
        <v>1488</v>
      </c>
    </row>
    <row r="307" spans="1:4" ht="14.25" hidden="1" customHeight="1">
      <c r="A307" t="s">
        <v>348</v>
      </c>
      <c r="B307">
        <v>26</v>
      </c>
      <c r="C307" t="s">
        <v>374</v>
      </c>
      <c r="D307" t="s">
        <v>1488</v>
      </c>
    </row>
    <row r="308" spans="1:4" ht="14.25" hidden="1" customHeight="1">
      <c r="A308" t="s">
        <v>348</v>
      </c>
      <c r="B308">
        <v>27</v>
      </c>
      <c r="C308" t="s">
        <v>375</v>
      </c>
      <c r="D308" t="s">
        <v>1487</v>
      </c>
    </row>
    <row r="309" spans="1:4" ht="14.25" hidden="1" customHeight="1">
      <c r="A309" t="s">
        <v>348</v>
      </c>
      <c r="B309">
        <v>28</v>
      </c>
      <c r="C309" t="s">
        <v>376</v>
      </c>
      <c r="D309" t="s">
        <v>1488</v>
      </c>
    </row>
    <row r="310" spans="1:4" ht="14.25" hidden="1" customHeight="1">
      <c r="A310" t="s">
        <v>348</v>
      </c>
      <c r="B310">
        <v>29</v>
      </c>
      <c r="C310" t="s">
        <v>377</v>
      </c>
      <c r="D310" t="s">
        <v>1488</v>
      </c>
    </row>
    <row r="311" spans="1:4" ht="14.25" hidden="1" customHeight="1">
      <c r="A311" t="s">
        <v>348</v>
      </c>
      <c r="B311">
        <v>30</v>
      </c>
      <c r="C311" t="s">
        <v>378</v>
      </c>
      <c r="D311" t="s">
        <v>1487</v>
      </c>
    </row>
    <row r="312" spans="1:4" ht="14.25" hidden="1" customHeight="1">
      <c r="A312" t="s">
        <v>348</v>
      </c>
      <c r="B312">
        <v>31</v>
      </c>
      <c r="C312" t="s">
        <v>379</v>
      </c>
      <c r="D312" t="s">
        <v>1488</v>
      </c>
    </row>
    <row r="313" spans="1:4" ht="14.25" hidden="1" customHeight="1">
      <c r="A313" t="s">
        <v>348</v>
      </c>
      <c r="B313">
        <v>32</v>
      </c>
      <c r="C313" t="s">
        <v>380</v>
      </c>
      <c r="D313" t="s">
        <v>1488</v>
      </c>
    </row>
    <row r="314" spans="1:4" ht="14.25" hidden="1" customHeight="1">
      <c r="A314" t="s">
        <v>348</v>
      </c>
      <c r="B314">
        <v>33</v>
      </c>
      <c r="C314" t="s">
        <v>381</v>
      </c>
      <c r="D314" t="s">
        <v>1487</v>
      </c>
    </row>
    <row r="315" spans="1:4" ht="14.25" hidden="1" customHeight="1">
      <c r="A315" t="s">
        <v>348</v>
      </c>
      <c r="B315">
        <v>34</v>
      </c>
      <c r="C315" t="s">
        <v>382</v>
      </c>
      <c r="D315" t="s">
        <v>1488</v>
      </c>
    </row>
    <row r="316" spans="1:4" ht="14.25" hidden="1" customHeight="1">
      <c r="A316" t="s">
        <v>348</v>
      </c>
      <c r="B316">
        <v>35</v>
      </c>
      <c r="C316" t="s">
        <v>383</v>
      </c>
      <c r="D316" t="s">
        <v>1488</v>
      </c>
    </row>
    <row r="317" spans="1:4" ht="14.25" hidden="1" customHeight="1">
      <c r="A317" t="s">
        <v>348</v>
      </c>
      <c r="B317">
        <v>36</v>
      </c>
      <c r="C317" t="s">
        <v>384</v>
      </c>
      <c r="D317" t="s">
        <v>1488</v>
      </c>
    </row>
    <row r="318" spans="1:4" ht="14.25" hidden="1" customHeight="1">
      <c r="A318" t="s">
        <v>348</v>
      </c>
      <c r="B318">
        <v>37</v>
      </c>
      <c r="C318" t="s">
        <v>385</v>
      </c>
      <c r="D318" t="s">
        <v>1488</v>
      </c>
    </row>
    <row r="319" spans="1:4" ht="14.25" hidden="1" customHeight="1">
      <c r="A319" t="s">
        <v>348</v>
      </c>
      <c r="B319">
        <v>38</v>
      </c>
      <c r="C319" t="s">
        <v>386</v>
      </c>
      <c r="D319" t="s">
        <v>1488</v>
      </c>
    </row>
    <row r="320" spans="1:4" ht="14.25" hidden="1" customHeight="1">
      <c r="A320" t="s">
        <v>348</v>
      </c>
      <c r="B320">
        <v>39</v>
      </c>
      <c r="C320" t="s">
        <v>387</v>
      </c>
      <c r="D320" t="s">
        <v>1488</v>
      </c>
    </row>
    <row r="321" spans="1:6" ht="14.25" hidden="1" customHeight="1">
      <c r="A321" t="s">
        <v>348</v>
      </c>
      <c r="B321">
        <v>40</v>
      </c>
      <c r="C321" t="s">
        <v>388</v>
      </c>
      <c r="D321" t="s">
        <v>1488</v>
      </c>
    </row>
    <row r="322" spans="1:6" ht="14.25" hidden="1" customHeight="1">
      <c r="A322" t="s">
        <v>348</v>
      </c>
      <c r="B322">
        <v>41</v>
      </c>
      <c r="C322" t="s">
        <v>389</v>
      </c>
      <c r="D322" t="s">
        <v>1488</v>
      </c>
    </row>
    <row r="323" spans="1:6" ht="14.25" hidden="1" customHeight="1">
      <c r="A323" t="s">
        <v>348</v>
      </c>
      <c r="B323">
        <v>42</v>
      </c>
      <c r="C323" t="s">
        <v>390</v>
      </c>
      <c r="D323" t="s">
        <v>1488</v>
      </c>
    </row>
    <row r="324" spans="1:6" ht="14.25" hidden="1" customHeight="1">
      <c r="A324" t="s">
        <v>348</v>
      </c>
      <c r="B324">
        <v>43</v>
      </c>
      <c r="C324" t="s">
        <v>391</v>
      </c>
      <c r="D324" t="s">
        <v>1488</v>
      </c>
    </row>
    <row r="325" spans="1:6" ht="14.25" hidden="1" customHeight="1">
      <c r="A325" t="s">
        <v>348</v>
      </c>
      <c r="B325">
        <v>44</v>
      </c>
      <c r="C325" t="s">
        <v>392</v>
      </c>
      <c r="D325" t="s">
        <v>1487</v>
      </c>
    </row>
    <row r="326" spans="1:6" ht="14.25" hidden="1" customHeight="1">
      <c r="A326" t="s">
        <v>348</v>
      </c>
      <c r="B326">
        <v>45</v>
      </c>
      <c r="C326" t="s">
        <v>393</v>
      </c>
      <c r="D326" t="s">
        <v>1488</v>
      </c>
    </row>
    <row r="327" spans="1:6" ht="14.25" hidden="1" customHeight="1">
      <c r="A327" t="s">
        <v>348</v>
      </c>
      <c r="B327">
        <v>46</v>
      </c>
      <c r="C327" t="s">
        <v>394</v>
      </c>
      <c r="D327" t="s">
        <v>1487</v>
      </c>
    </row>
    <row r="328" spans="1:6" ht="14.25" hidden="1" customHeight="1">
      <c r="A328" t="s">
        <v>348</v>
      </c>
      <c r="B328">
        <v>47</v>
      </c>
      <c r="C328" t="s">
        <v>395</v>
      </c>
      <c r="D328" t="s">
        <v>1487</v>
      </c>
    </row>
    <row r="329" spans="1:6" ht="14.25" hidden="1" customHeight="1">
      <c r="A329" t="s">
        <v>348</v>
      </c>
      <c r="B329">
        <v>48</v>
      </c>
      <c r="C329" t="s">
        <v>396</v>
      </c>
      <c r="D329" t="s">
        <v>1488</v>
      </c>
    </row>
    <row r="330" spans="1:6" ht="14.25" hidden="1" customHeight="1">
      <c r="A330" t="s">
        <v>348</v>
      </c>
      <c r="B330">
        <v>49</v>
      </c>
      <c r="C330" t="s">
        <v>397</v>
      </c>
      <c r="D330" t="s">
        <v>1488</v>
      </c>
    </row>
    <row r="331" spans="1:6" ht="14.25" hidden="1" customHeight="1">
      <c r="A331" t="s">
        <v>348</v>
      </c>
      <c r="B331">
        <v>50</v>
      </c>
      <c r="C331" t="s">
        <v>398</v>
      </c>
      <c r="D331" t="s">
        <v>1487</v>
      </c>
    </row>
    <row r="332" spans="1:6" ht="14.25" hidden="1" customHeight="1">
      <c r="A332" t="s">
        <v>348</v>
      </c>
      <c r="B332">
        <v>51</v>
      </c>
      <c r="C332" t="s">
        <v>399</v>
      </c>
      <c r="D332" t="s">
        <v>1488</v>
      </c>
    </row>
    <row r="333" spans="1:6" ht="14.25" hidden="1" customHeight="1">
      <c r="A333" t="s">
        <v>348</v>
      </c>
      <c r="B333">
        <v>52</v>
      </c>
      <c r="C333" t="s">
        <v>400</v>
      </c>
      <c r="D333" t="s">
        <v>1488</v>
      </c>
    </row>
    <row r="334" spans="1:6" ht="14.25" hidden="1" customHeight="1">
      <c r="A334" t="s">
        <v>348</v>
      </c>
      <c r="B334">
        <v>53</v>
      </c>
      <c r="C334" t="s">
        <v>401</v>
      </c>
      <c r="D334" t="s">
        <v>1488</v>
      </c>
      <c r="E334" s="2"/>
      <c r="F334" s="2"/>
    </row>
    <row r="335" spans="1:6" ht="14.25" hidden="1" customHeight="1">
      <c r="A335" t="s">
        <v>348</v>
      </c>
      <c r="B335">
        <v>54</v>
      </c>
      <c r="C335" t="s">
        <v>402</v>
      </c>
      <c r="D335" t="s">
        <v>1488</v>
      </c>
    </row>
    <row r="336" spans="1:6" ht="14.25" hidden="1" customHeight="1">
      <c r="A336" t="s">
        <v>348</v>
      </c>
      <c r="B336">
        <v>55</v>
      </c>
      <c r="C336" t="s">
        <v>403</v>
      </c>
      <c r="D336" s="1" t="s">
        <v>1488</v>
      </c>
    </row>
    <row r="337" spans="1:4" ht="14.25" hidden="1" customHeight="1">
      <c r="A337" t="s">
        <v>348</v>
      </c>
      <c r="B337">
        <v>56</v>
      </c>
      <c r="C337" t="s">
        <v>404</v>
      </c>
      <c r="D337" t="s">
        <v>1488</v>
      </c>
    </row>
    <row r="338" spans="1:4" ht="14.25" hidden="1" customHeight="1">
      <c r="A338" t="s">
        <v>348</v>
      </c>
      <c r="B338">
        <v>57</v>
      </c>
      <c r="C338" t="s">
        <v>405</v>
      </c>
      <c r="D338" t="s">
        <v>1488</v>
      </c>
    </row>
    <row r="339" spans="1:4" ht="14.25" hidden="1" customHeight="1">
      <c r="A339" t="s">
        <v>348</v>
      </c>
      <c r="B339">
        <v>58</v>
      </c>
      <c r="C339" t="s">
        <v>406</v>
      </c>
      <c r="D339" t="s">
        <v>1488</v>
      </c>
    </row>
    <row r="340" spans="1:4" ht="14.25" hidden="1" customHeight="1">
      <c r="A340" t="s">
        <v>348</v>
      </c>
      <c r="B340">
        <v>59</v>
      </c>
      <c r="C340" t="s">
        <v>407</v>
      </c>
      <c r="D340" t="s">
        <v>1488</v>
      </c>
    </row>
    <row r="341" spans="1:4" ht="14.25" hidden="1" customHeight="1">
      <c r="A341" t="s">
        <v>348</v>
      </c>
      <c r="B341">
        <v>60</v>
      </c>
      <c r="C341" t="s">
        <v>408</v>
      </c>
      <c r="D341" s="1" t="s">
        <v>1499</v>
      </c>
    </row>
    <row r="342" spans="1:4" ht="14.25" hidden="1" customHeight="1">
      <c r="A342" t="s">
        <v>348</v>
      </c>
      <c r="B342">
        <v>61</v>
      </c>
      <c r="C342" t="s">
        <v>409</v>
      </c>
      <c r="D342" t="s">
        <v>1488</v>
      </c>
    </row>
    <row r="343" spans="1:4" ht="14.25" hidden="1" customHeight="1">
      <c r="A343" t="s">
        <v>348</v>
      </c>
      <c r="B343">
        <v>62</v>
      </c>
      <c r="C343" t="s">
        <v>410</v>
      </c>
      <c r="D343" t="s">
        <v>1488</v>
      </c>
    </row>
    <row r="344" spans="1:4" ht="14.25" hidden="1" customHeight="1">
      <c r="A344" t="s">
        <v>348</v>
      </c>
      <c r="B344">
        <v>63</v>
      </c>
      <c r="C344" t="s">
        <v>411</v>
      </c>
      <c r="D344" t="s">
        <v>1488</v>
      </c>
    </row>
    <row r="345" spans="1:4" ht="14.25" hidden="1" customHeight="1">
      <c r="A345" t="s">
        <v>348</v>
      </c>
      <c r="B345">
        <v>64</v>
      </c>
      <c r="C345" t="s">
        <v>412</v>
      </c>
      <c r="D345" s="1" t="s">
        <v>1499</v>
      </c>
    </row>
    <row r="346" spans="1:4" ht="14.25" hidden="1" customHeight="1">
      <c r="A346" t="s">
        <v>348</v>
      </c>
      <c r="B346">
        <v>65</v>
      </c>
      <c r="C346" t="s">
        <v>413</v>
      </c>
      <c r="D346" t="s">
        <v>1488</v>
      </c>
    </row>
    <row r="347" spans="1:4" ht="14.25" hidden="1" customHeight="1">
      <c r="A347" t="s">
        <v>348</v>
      </c>
      <c r="B347">
        <v>66</v>
      </c>
      <c r="C347" t="s">
        <v>414</v>
      </c>
      <c r="D347" t="s">
        <v>1488</v>
      </c>
    </row>
    <row r="348" spans="1:4" ht="14.25" hidden="1" customHeight="1">
      <c r="A348" t="s">
        <v>348</v>
      </c>
      <c r="B348">
        <v>67</v>
      </c>
      <c r="C348" t="s">
        <v>415</v>
      </c>
      <c r="D348" t="s">
        <v>1488</v>
      </c>
    </row>
    <row r="349" spans="1:4" ht="14.25" hidden="1" customHeight="1">
      <c r="A349" t="s">
        <v>348</v>
      </c>
      <c r="B349">
        <v>68</v>
      </c>
      <c r="C349" t="s">
        <v>416</v>
      </c>
      <c r="D349" t="s">
        <v>1488</v>
      </c>
    </row>
    <row r="350" spans="1:4" ht="14.25" hidden="1" customHeight="1">
      <c r="A350" t="s">
        <v>348</v>
      </c>
      <c r="B350">
        <v>69</v>
      </c>
      <c r="C350" t="s">
        <v>417</v>
      </c>
      <c r="D350" s="1" t="s">
        <v>1499</v>
      </c>
    </row>
    <row r="351" spans="1:4" ht="14.25" hidden="1" customHeight="1">
      <c r="A351" t="s">
        <v>348</v>
      </c>
      <c r="B351">
        <v>70</v>
      </c>
      <c r="C351" t="s">
        <v>418</v>
      </c>
      <c r="D351" t="s">
        <v>1488</v>
      </c>
    </row>
    <row r="352" spans="1:4" ht="14.25" hidden="1" customHeight="1">
      <c r="A352" t="s">
        <v>348</v>
      </c>
      <c r="B352">
        <v>71</v>
      </c>
      <c r="C352" t="s">
        <v>419</v>
      </c>
      <c r="D352" t="s">
        <v>1488</v>
      </c>
    </row>
    <row r="353" spans="1:4" ht="14.25" hidden="1" customHeight="1">
      <c r="A353" t="s">
        <v>348</v>
      </c>
      <c r="B353">
        <v>72</v>
      </c>
      <c r="C353" t="s">
        <v>420</v>
      </c>
      <c r="D353" t="s">
        <v>1487</v>
      </c>
    </row>
    <row r="354" spans="1:4" ht="14.25" hidden="1" customHeight="1">
      <c r="A354" t="s">
        <v>348</v>
      </c>
      <c r="B354">
        <v>73</v>
      </c>
      <c r="C354" t="s">
        <v>421</v>
      </c>
      <c r="D354" t="s">
        <v>1488</v>
      </c>
    </row>
    <row r="355" spans="1:4" ht="14.25" hidden="1" customHeight="1">
      <c r="A355" t="s">
        <v>348</v>
      </c>
      <c r="B355">
        <v>74</v>
      </c>
      <c r="C355" t="s">
        <v>422</v>
      </c>
      <c r="D355" t="s">
        <v>1488</v>
      </c>
    </row>
    <row r="356" spans="1:4" ht="14.25" hidden="1" customHeight="1">
      <c r="A356" t="s">
        <v>348</v>
      </c>
      <c r="B356">
        <v>75</v>
      </c>
      <c r="C356" t="s">
        <v>423</v>
      </c>
      <c r="D356" t="s">
        <v>1487</v>
      </c>
    </row>
    <row r="357" spans="1:4" ht="14.25" hidden="1" customHeight="1">
      <c r="A357" t="s">
        <v>348</v>
      </c>
      <c r="B357">
        <v>76</v>
      </c>
      <c r="C357" t="s">
        <v>424</v>
      </c>
      <c r="D357" t="s">
        <v>1488</v>
      </c>
    </row>
    <row r="358" spans="1:4" ht="14.25" hidden="1" customHeight="1">
      <c r="A358" t="s">
        <v>348</v>
      </c>
      <c r="B358">
        <v>77</v>
      </c>
      <c r="C358" t="s">
        <v>425</v>
      </c>
      <c r="D358" t="s">
        <v>1488</v>
      </c>
    </row>
    <row r="359" spans="1:4" ht="14.25" hidden="1" customHeight="1">
      <c r="A359" t="s">
        <v>348</v>
      </c>
      <c r="B359">
        <v>78</v>
      </c>
      <c r="C359" t="s">
        <v>426</v>
      </c>
      <c r="D359" t="s">
        <v>1487</v>
      </c>
    </row>
    <row r="360" spans="1:4" ht="14.25" hidden="1" customHeight="1">
      <c r="A360" t="s">
        <v>348</v>
      </c>
      <c r="B360">
        <v>79</v>
      </c>
      <c r="C360" t="s">
        <v>427</v>
      </c>
      <c r="D360" t="s">
        <v>1488</v>
      </c>
    </row>
    <row r="361" spans="1:4" ht="14.25" hidden="1" customHeight="1">
      <c r="A361" t="s">
        <v>348</v>
      </c>
      <c r="B361">
        <v>80</v>
      </c>
      <c r="C361" t="s">
        <v>428</v>
      </c>
      <c r="D361" t="s">
        <v>1487</v>
      </c>
    </row>
    <row r="362" spans="1:4" ht="14.25" hidden="1" customHeight="1">
      <c r="A362" t="s">
        <v>348</v>
      </c>
      <c r="B362">
        <v>81</v>
      </c>
      <c r="C362" t="s">
        <v>429</v>
      </c>
      <c r="D362" t="s">
        <v>1488</v>
      </c>
    </row>
    <row r="363" spans="1:4" ht="14.25" hidden="1" customHeight="1">
      <c r="A363" t="s">
        <v>348</v>
      </c>
      <c r="B363">
        <v>82</v>
      </c>
      <c r="C363" t="s">
        <v>430</v>
      </c>
      <c r="D363" t="s">
        <v>1488</v>
      </c>
    </row>
    <row r="364" spans="1:4" ht="14.25" hidden="1" customHeight="1">
      <c r="A364" t="s">
        <v>348</v>
      </c>
      <c r="B364">
        <v>83</v>
      </c>
      <c r="C364" t="s">
        <v>431</v>
      </c>
      <c r="D364" t="s">
        <v>1487</v>
      </c>
    </row>
    <row r="365" spans="1:4" ht="14.25" hidden="1" customHeight="1">
      <c r="A365" t="s">
        <v>348</v>
      </c>
      <c r="B365">
        <v>84</v>
      </c>
      <c r="C365" t="s">
        <v>432</v>
      </c>
      <c r="D365" t="s">
        <v>1488</v>
      </c>
    </row>
    <row r="366" spans="1:4" ht="14.25" hidden="1" customHeight="1">
      <c r="A366" t="s">
        <v>348</v>
      </c>
      <c r="B366">
        <v>85</v>
      </c>
      <c r="C366" t="s">
        <v>433</v>
      </c>
      <c r="D366" s="1" t="s">
        <v>1499</v>
      </c>
    </row>
    <row r="367" spans="1:4" ht="14.25" hidden="1" customHeight="1">
      <c r="A367" t="s">
        <v>348</v>
      </c>
      <c r="B367">
        <v>86</v>
      </c>
      <c r="C367" t="s">
        <v>434</v>
      </c>
      <c r="D367" s="1" t="s">
        <v>1499</v>
      </c>
    </row>
    <row r="368" spans="1:4" ht="14.25" hidden="1" customHeight="1">
      <c r="A368" t="s">
        <v>348</v>
      </c>
      <c r="B368">
        <v>87</v>
      </c>
      <c r="C368" t="s">
        <v>435</v>
      </c>
      <c r="D368" t="s">
        <v>1488</v>
      </c>
    </row>
    <row r="369" spans="1:4" ht="14.25" hidden="1" customHeight="1">
      <c r="A369" t="s">
        <v>348</v>
      </c>
      <c r="B369">
        <v>88</v>
      </c>
      <c r="C369" t="s">
        <v>436</v>
      </c>
      <c r="D369" t="s">
        <v>1488</v>
      </c>
    </row>
    <row r="370" spans="1:4" ht="14.25" hidden="1" customHeight="1">
      <c r="A370" t="s">
        <v>348</v>
      </c>
      <c r="B370">
        <v>89</v>
      </c>
      <c r="C370" t="s">
        <v>437</v>
      </c>
      <c r="D370" t="s">
        <v>1488</v>
      </c>
    </row>
    <row r="371" spans="1:4" ht="14.25" customHeight="1">
      <c r="A371" t="s">
        <v>473</v>
      </c>
      <c r="B371">
        <v>1</v>
      </c>
      <c r="C371" t="s">
        <v>474</v>
      </c>
      <c r="D371" t="s">
        <v>1488</v>
      </c>
    </row>
    <row r="372" spans="1:4" ht="14.25" customHeight="1">
      <c r="A372" t="s">
        <v>473</v>
      </c>
      <c r="B372">
        <v>2</v>
      </c>
      <c r="C372" t="s">
        <v>475</v>
      </c>
      <c r="D372" t="s">
        <v>1488</v>
      </c>
    </row>
    <row r="373" spans="1:4" ht="14.25" customHeight="1">
      <c r="A373" t="s">
        <v>473</v>
      </c>
      <c r="B373">
        <v>3</v>
      </c>
      <c r="C373" t="s">
        <v>476</v>
      </c>
      <c r="D373" t="s">
        <v>1488</v>
      </c>
    </row>
    <row r="374" spans="1:4" ht="14.25" customHeight="1">
      <c r="A374" t="s">
        <v>473</v>
      </c>
      <c r="B374">
        <v>4</v>
      </c>
      <c r="C374" t="s">
        <v>477</v>
      </c>
      <c r="D374" s="1" t="s">
        <v>1487</v>
      </c>
    </row>
    <row r="375" spans="1:4" ht="14.25" customHeight="1">
      <c r="A375" t="s">
        <v>473</v>
      </c>
      <c r="B375">
        <v>5</v>
      </c>
      <c r="C375" t="s">
        <v>478</v>
      </c>
      <c r="D375" s="1" t="s">
        <v>1488</v>
      </c>
    </row>
    <row r="376" spans="1:4" ht="14.25" customHeight="1">
      <c r="A376" t="s">
        <v>473</v>
      </c>
      <c r="B376">
        <v>6</v>
      </c>
      <c r="C376" t="s">
        <v>479</v>
      </c>
      <c r="D376" s="1" t="s">
        <v>1488</v>
      </c>
    </row>
    <row r="377" spans="1:4" ht="14.25" customHeight="1">
      <c r="A377" t="s">
        <v>473</v>
      </c>
      <c r="B377">
        <v>7</v>
      </c>
      <c r="C377" t="s">
        <v>480</v>
      </c>
      <c r="D377" s="1" t="s">
        <v>1488</v>
      </c>
    </row>
    <row r="378" spans="1:4" ht="14.25" customHeight="1">
      <c r="A378" t="s">
        <v>473</v>
      </c>
      <c r="B378">
        <v>8</v>
      </c>
      <c r="C378" t="s">
        <v>481</v>
      </c>
      <c r="D378" s="1" t="s">
        <v>1487</v>
      </c>
    </row>
    <row r="379" spans="1:4" ht="14.25" customHeight="1">
      <c r="A379" t="s">
        <v>473</v>
      </c>
      <c r="B379">
        <v>9</v>
      </c>
      <c r="C379" t="s">
        <v>482</v>
      </c>
      <c r="D379" s="1" t="s">
        <v>1488</v>
      </c>
    </row>
    <row r="380" spans="1:4" ht="14.25" customHeight="1">
      <c r="A380" t="s">
        <v>473</v>
      </c>
      <c r="B380">
        <v>10</v>
      </c>
      <c r="C380" t="s">
        <v>483</v>
      </c>
      <c r="D380" s="1" t="s">
        <v>1488</v>
      </c>
    </row>
    <row r="381" spans="1:4" ht="14.25" customHeight="1">
      <c r="A381" t="s">
        <v>473</v>
      </c>
      <c r="B381">
        <v>11</v>
      </c>
      <c r="C381" t="s">
        <v>484</v>
      </c>
      <c r="D381" t="s">
        <v>1488</v>
      </c>
    </row>
    <row r="382" spans="1:4" ht="14.25" customHeight="1">
      <c r="A382" t="s">
        <v>473</v>
      </c>
      <c r="B382">
        <v>12</v>
      </c>
      <c r="C382" t="s">
        <v>485</v>
      </c>
      <c r="D382" t="s">
        <v>1488</v>
      </c>
    </row>
    <row r="383" spans="1:4" ht="14.25" customHeight="1">
      <c r="A383" t="s">
        <v>473</v>
      </c>
      <c r="B383">
        <v>13</v>
      </c>
      <c r="C383" t="s">
        <v>486</v>
      </c>
      <c r="D383" t="s">
        <v>1487</v>
      </c>
    </row>
    <row r="384" spans="1:4" ht="14.25" customHeight="1">
      <c r="A384" t="s">
        <v>473</v>
      </c>
      <c r="B384">
        <v>14</v>
      </c>
      <c r="C384" t="s">
        <v>487</v>
      </c>
      <c r="D384" t="s">
        <v>1488</v>
      </c>
    </row>
    <row r="385" spans="1:4" ht="14.25" customHeight="1">
      <c r="A385" t="s">
        <v>473</v>
      </c>
      <c r="B385">
        <v>15</v>
      </c>
      <c r="C385" t="s">
        <v>488</v>
      </c>
      <c r="D385" t="s">
        <v>1488</v>
      </c>
    </row>
    <row r="386" spans="1:4" ht="14.25" customHeight="1">
      <c r="A386" t="s">
        <v>473</v>
      </c>
      <c r="B386">
        <v>16</v>
      </c>
      <c r="C386" t="s">
        <v>489</v>
      </c>
      <c r="D386" t="s">
        <v>1488</v>
      </c>
    </row>
    <row r="387" spans="1:4" ht="14.25" customHeight="1">
      <c r="A387" t="s">
        <v>473</v>
      </c>
      <c r="B387">
        <v>17</v>
      </c>
      <c r="C387" t="s">
        <v>490</v>
      </c>
      <c r="D387" t="s">
        <v>1488</v>
      </c>
    </row>
    <row r="388" spans="1:4" ht="14.25" customHeight="1">
      <c r="A388" t="s">
        <v>473</v>
      </c>
      <c r="B388">
        <v>18</v>
      </c>
      <c r="C388" t="s">
        <v>491</v>
      </c>
      <c r="D388" t="s">
        <v>1488</v>
      </c>
    </row>
    <row r="389" spans="1:4" ht="14.25" customHeight="1">
      <c r="A389" t="s">
        <v>473</v>
      </c>
      <c r="B389">
        <v>19</v>
      </c>
      <c r="C389" t="s">
        <v>492</v>
      </c>
      <c r="D389" t="s">
        <v>1488</v>
      </c>
    </row>
    <row r="390" spans="1:4" ht="14.25" customHeight="1">
      <c r="A390" t="s">
        <v>473</v>
      </c>
      <c r="B390">
        <v>20</v>
      </c>
      <c r="C390" t="s">
        <v>493</v>
      </c>
      <c r="D390" t="s">
        <v>1488</v>
      </c>
    </row>
    <row r="391" spans="1:4" ht="14.25" customHeight="1">
      <c r="A391" t="s">
        <v>473</v>
      </c>
      <c r="B391">
        <v>21</v>
      </c>
      <c r="C391" t="s">
        <v>494</v>
      </c>
      <c r="D391" t="s">
        <v>1488</v>
      </c>
    </row>
    <row r="392" spans="1:4" ht="14.25" customHeight="1">
      <c r="A392" t="s">
        <v>473</v>
      </c>
      <c r="B392">
        <v>22</v>
      </c>
      <c r="C392" t="s">
        <v>495</v>
      </c>
      <c r="D392" t="s">
        <v>1487</v>
      </c>
    </row>
    <row r="393" spans="1:4" ht="14.25" customHeight="1">
      <c r="A393" t="s">
        <v>473</v>
      </c>
      <c r="B393">
        <v>23</v>
      </c>
      <c r="C393" t="s">
        <v>496</v>
      </c>
      <c r="D393" t="s">
        <v>1487</v>
      </c>
    </row>
    <row r="394" spans="1:4" ht="14.25" customHeight="1">
      <c r="A394" t="s">
        <v>473</v>
      </c>
      <c r="B394">
        <v>24</v>
      </c>
      <c r="C394" t="s">
        <v>497</v>
      </c>
      <c r="D394" t="s">
        <v>1487</v>
      </c>
    </row>
    <row r="395" spans="1:4" ht="14.25" customHeight="1">
      <c r="A395" t="s">
        <v>473</v>
      </c>
      <c r="B395">
        <v>25</v>
      </c>
      <c r="C395" t="s">
        <v>498</v>
      </c>
      <c r="D395" t="s">
        <v>1488</v>
      </c>
    </row>
    <row r="396" spans="1:4" ht="14.25" customHeight="1">
      <c r="A396" t="s">
        <v>473</v>
      </c>
      <c r="B396">
        <v>26</v>
      </c>
      <c r="C396" t="s">
        <v>499</v>
      </c>
      <c r="D396" t="s">
        <v>1487</v>
      </c>
    </row>
    <row r="397" spans="1:4" ht="14.25" customHeight="1">
      <c r="A397" t="s">
        <v>473</v>
      </c>
      <c r="B397">
        <v>27</v>
      </c>
      <c r="C397" t="s">
        <v>500</v>
      </c>
      <c r="D397" t="s">
        <v>1487</v>
      </c>
    </row>
    <row r="398" spans="1:4" ht="14.25" customHeight="1">
      <c r="A398" t="s">
        <v>473</v>
      </c>
      <c r="B398">
        <v>28</v>
      </c>
      <c r="C398" t="s">
        <v>501</v>
      </c>
      <c r="D398" t="s">
        <v>1488</v>
      </c>
    </row>
    <row r="399" spans="1:4" ht="14.25" customHeight="1">
      <c r="A399" t="s">
        <v>473</v>
      </c>
      <c r="B399">
        <v>29</v>
      </c>
      <c r="C399" t="s">
        <v>502</v>
      </c>
      <c r="D399" t="s">
        <v>1488</v>
      </c>
    </row>
    <row r="400" spans="1:4" ht="14.25" customHeight="1">
      <c r="A400" t="s">
        <v>473</v>
      </c>
      <c r="B400">
        <v>30</v>
      </c>
      <c r="C400" t="s">
        <v>503</v>
      </c>
      <c r="D400" t="s">
        <v>1488</v>
      </c>
    </row>
    <row r="401" spans="1:4" ht="14.25" customHeight="1">
      <c r="A401" t="s">
        <v>473</v>
      </c>
      <c r="B401">
        <v>31</v>
      </c>
      <c r="C401" t="s">
        <v>504</v>
      </c>
      <c r="D401" t="s">
        <v>1488</v>
      </c>
    </row>
    <row r="402" spans="1:4" ht="14.25" customHeight="1">
      <c r="A402" t="s">
        <v>473</v>
      </c>
      <c r="B402">
        <v>32</v>
      </c>
      <c r="C402" t="s">
        <v>505</v>
      </c>
      <c r="D402" t="s">
        <v>1488</v>
      </c>
    </row>
    <row r="403" spans="1:4" ht="14.25" customHeight="1">
      <c r="A403" t="s">
        <v>473</v>
      </c>
      <c r="B403">
        <v>33</v>
      </c>
      <c r="C403" t="s">
        <v>506</v>
      </c>
      <c r="D403" s="1" t="s">
        <v>1488</v>
      </c>
    </row>
    <row r="404" spans="1:4" ht="14.25" customHeight="1">
      <c r="A404" t="s">
        <v>473</v>
      </c>
      <c r="B404">
        <v>34</v>
      </c>
      <c r="C404" t="s">
        <v>507</v>
      </c>
      <c r="D404" t="s">
        <v>1488</v>
      </c>
    </row>
    <row r="405" spans="1:4" ht="14.25" customHeight="1">
      <c r="A405" t="s">
        <v>473</v>
      </c>
      <c r="B405">
        <v>35</v>
      </c>
      <c r="C405" t="s">
        <v>508</v>
      </c>
      <c r="D405" t="s">
        <v>1488</v>
      </c>
    </row>
    <row r="406" spans="1:4" ht="14.25" customHeight="1">
      <c r="A406" t="s">
        <v>473</v>
      </c>
      <c r="B406">
        <v>36</v>
      </c>
      <c r="C406" t="s">
        <v>509</v>
      </c>
      <c r="D406" t="s">
        <v>1488</v>
      </c>
    </row>
    <row r="407" spans="1:4" ht="14.25" customHeight="1">
      <c r="A407" t="s">
        <v>473</v>
      </c>
      <c r="B407">
        <v>37</v>
      </c>
      <c r="C407" t="s">
        <v>510</v>
      </c>
      <c r="D407" t="s">
        <v>1487</v>
      </c>
    </row>
    <row r="408" spans="1:4" ht="14.25" customHeight="1">
      <c r="A408" t="s">
        <v>473</v>
      </c>
      <c r="B408">
        <v>38</v>
      </c>
      <c r="C408" t="s">
        <v>511</v>
      </c>
      <c r="D408" t="s">
        <v>1488</v>
      </c>
    </row>
    <row r="409" spans="1:4" ht="14.25" customHeight="1">
      <c r="A409" t="s">
        <v>473</v>
      </c>
      <c r="B409">
        <v>39</v>
      </c>
      <c r="C409" t="s">
        <v>512</v>
      </c>
      <c r="D409" t="s">
        <v>1488</v>
      </c>
    </row>
    <row r="410" spans="1:4" ht="14.25" customHeight="1">
      <c r="A410" t="s">
        <v>473</v>
      </c>
      <c r="B410">
        <v>40</v>
      </c>
      <c r="C410" t="s">
        <v>513</v>
      </c>
      <c r="D410" t="s">
        <v>1500</v>
      </c>
    </row>
    <row r="411" spans="1:4" ht="14.25" customHeight="1">
      <c r="A411" t="s">
        <v>473</v>
      </c>
      <c r="B411">
        <v>41</v>
      </c>
      <c r="C411" t="s">
        <v>514</v>
      </c>
      <c r="D411" t="s">
        <v>1488</v>
      </c>
    </row>
    <row r="412" spans="1:4" ht="14.25" customHeight="1">
      <c r="A412" t="s">
        <v>473</v>
      </c>
      <c r="B412">
        <v>42</v>
      </c>
      <c r="C412" t="s">
        <v>515</v>
      </c>
      <c r="D412" t="s">
        <v>1488</v>
      </c>
    </row>
    <row r="413" spans="1:4" ht="14.25" customHeight="1">
      <c r="A413" t="s">
        <v>473</v>
      </c>
      <c r="B413">
        <v>43</v>
      </c>
      <c r="C413" t="s">
        <v>516</v>
      </c>
      <c r="D413" t="s">
        <v>1488</v>
      </c>
    </row>
    <row r="414" spans="1:4" ht="14.25" customHeight="1">
      <c r="A414" t="s">
        <v>473</v>
      </c>
      <c r="B414">
        <v>44</v>
      </c>
      <c r="C414" t="s">
        <v>517</v>
      </c>
      <c r="D414" t="s">
        <v>1488</v>
      </c>
    </row>
    <row r="415" spans="1:4" ht="14.25" customHeight="1">
      <c r="A415" t="s">
        <v>473</v>
      </c>
      <c r="B415">
        <v>45</v>
      </c>
      <c r="C415" t="s">
        <v>518</v>
      </c>
      <c r="D415" t="s">
        <v>1488</v>
      </c>
    </row>
    <row r="416" spans="1:4" ht="14.25" customHeight="1">
      <c r="A416" t="s">
        <v>473</v>
      </c>
      <c r="B416">
        <v>46</v>
      </c>
      <c r="C416" t="s">
        <v>519</v>
      </c>
      <c r="D416" t="s">
        <v>1488</v>
      </c>
    </row>
    <row r="417" spans="1:4" ht="14.25" customHeight="1">
      <c r="A417" t="s">
        <v>473</v>
      </c>
      <c r="B417">
        <v>47</v>
      </c>
      <c r="C417" t="s">
        <v>520</v>
      </c>
      <c r="D417" t="s">
        <v>1488</v>
      </c>
    </row>
    <row r="418" spans="1:4" ht="14.25" hidden="1" customHeight="1">
      <c r="A418" t="s">
        <v>580</v>
      </c>
      <c r="B418">
        <v>1</v>
      </c>
      <c r="C418" t="s">
        <v>581</v>
      </c>
      <c r="D418" t="s">
        <v>1488</v>
      </c>
    </row>
    <row r="419" spans="1:4" ht="14.25" hidden="1" customHeight="1">
      <c r="A419" t="s">
        <v>580</v>
      </c>
      <c r="B419">
        <v>2</v>
      </c>
      <c r="C419" t="s">
        <v>582</v>
      </c>
      <c r="D419" t="s">
        <v>1488</v>
      </c>
    </row>
    <row r="420" spans="1:4" ht="14.25" hidden="1" customHeight="1">
      <c r="A420" t="s">
        <v>580</v>
      </c>
      <c r="B420">
        <v>3</v>
      </c>
      <c r="C420" t="s">
        <v>583</v>
      </c>
      <c r="D420" t="s">
        <v>1488</v>
      </c>
    </row>
    <row r="421" spans="1:4" ht="14.25" hidden="1" customHeight="1">
      <c r="A421" t="s">
        <v>580</v>
      </c>
      <c r="B421">
        <v>4</v>
      </c>
      <c r="C421" t="s">
        <v>584</v>
      </c>
      <c r="D421" t="s">
        <v>1487</v>
      </c>
    </row>
    <row r="422" spans="1:4" ht="14.25" hidden="1" customHeight="1">
      <c r="A422" t="s">
        <v>580</v>
      </c>
      <c r="B422">
        <v>5</v>
      </c>
      <c r="C422" t="s">
        <v>585</v>
      </c>
      <c r="D422" t="s">
        <v>1487</v>
      </c>
    </row>
    <row r="423" spans="1:4" ht="14.25" hidden="1" customHeight="1">
      <c r="A423" t="s">
        <v>580</v>
      </c>
      <c r="B423">
        <v>6</v>
      </c>
      <c r="C423" t="s">
        <v>586</v>
      </c>
      <c r="D423" t="s">
        <v>1488</v>
      </c>
    </row>
    <row r="424" spans="1:4" ht="14.25" hidden="1" customHeight="1">
      <c r="A424" t="s">
        <v>580</v>
      </c>
      <c r="B424">
        <v>7</v>
      </c>
      <c r="C424" t="s">
        <v>587</v>
      </c>
      <c r="D424" t="s">
        <v>1488</v>
      </c>
    </row>
    <row r="425" spans="1:4" ht="14.25" hidden="1" customHeight="1">
      <c r="A425" t="s">
        <v>580</v>
      </c>
      <c r="B425">
        <v>8</v>
      </c>
      <c r="C425" t="s">
        <v>588</v>
      </c>
      <c r="D425" t="s">
        <v>1488</v>
      </c>
    </row>
    <row r="426" spans="1:4" ht="14.25" hidden="1" customHeight="1">
      <c r="A426" t="s">
        <v>580</v>
      </c>
      <c r="B426">
        <v>9</v>
      </c>
      <c r="C426" t="s">
        <v>589</v>
      </c>
      <c r="D426" t="s">
        <v>1488</v>
      </c>
    </row>
    <row r="427" spans="1:4" ht="14.25" hidden="1" customHeight="1">
      <c r="A427" t="s">
        <v>580</v>
      </c>
      <c r="B427">
        <v>10</v>
      </c>
      <c r="C427" t="s">
        <v>590</v>
      </c>
      <c r="D427" t="s">
        <v>1487</v>
      </c>
    </row>
    <row r="428" spans="1:4" ht="14.25" hidden="1" customHeight="1">
      <c r="A428" t="s">
        <v>580</v>
      </c>
      <c r="B428">
        <v>11</v>
      </c>
      <c r="C428" t="s">
        <v>591</v>
      </c>
      <c r="D428" t="s">
        <v>1487</v>
      </c>
    </row>
    <row r="429" spans="1:4" ht="14.25" hidden="1" customHeight="1">
      <c r="A429" t="s">
        <v>580</v>
      </c>
      <c r="B429">
        <v>12</v>
      </c>
      <c r="C429" t="s">
        <v>592</v>
      </c>
      <c r="D429" t="s">
        <v>1488</v>
      </c>
    </row>
    <row r="430" spans="1:4" ht="14.25" hidden="1" customHeight="1">
      <c r="A430" t="s">
        <v>580</v>
      </c>
      <c r="B430">
        <v>13</v>
      </c>
      <c r="C430" t="s">
        <v>593</v>
      </c>
      <c r="D430" s="1" t="s">
        <v>1488</v>
      </c>
    </row>
    <row r="431" spans="1:4" ht="14.25" hidden="1" customHeight="1">
      <c r="A431" t="s">
        <v>580</v>
      </c>
      <c r="B431">
        <v>14</v>
      </c>
      <c r="C431" t="s">
        <v>594</v>
      </c>
      <c r="D431" t="s">
        <v>1488</v>
      </c>
    </row>
    <row r="432" spans="1:4" ht="14.25" hidden="1" customHeight="1">
      <c r="A432" t="s">
        <v>580</v>
      </c>
      <c r="B432">
        <v>15</v>
      </c>
      <c r="C432" t="s">
        <v>595</v>
      </c>
      <c r="D432" t="s">
        <v>1487</v>
      </c>
    </row>
    <row r="433" spans="1:4" ht="14.25" hidden="1" customHeight="1">
      <c r="A433" t="s">
        <v>580</v>
      </c>
      <c r="B433">
        <v>16</v>
      </c>
      <c r="C433" t="s">
        <v>596</v>
      </c>
      <c r="D433" t="s">
        <v>1488</v>
      </c>
    </row>
    <row r="434" spans="1:4" ht="14.25" hidden="1" customHeight="1">
      <c r="A434" t="s">
        <v>580</v>
      </c>
      <c r="B434">
        <v>17</v>
      </c>
      <c r="C434" t="s">
        <v>597</v>
      </c>
      <c r="D434" t="s">
        <v>1487</v>
      </c>
    </row>
    <row r="435" spans="1:4" ht="14.25" hidden="1" customHeight="1">
      <c r="A435" t="s">
        <v>580</v>
      </c>
      <c r="B435">
        <v>18</v>
      </c>
      <c r="C435" t="s">
        <v>598</v>
      </c>
      <c r="D435" t="s">
        <v>1487</v>
      </c>
    </row>
    <row r="436" spans="1:4" ht="14.25" hidden="1" customHeight="1">
      <c r="A436" t="s">
        <v>580</v>
      </c>
      <c r="B436">
        <v>19</v>
      </c>
      <c r="C436" t="s">
        <v>599</v>
      </c>
      <c r="D436" t="s">
        <v>1488</v>
      </c>
    </row>
    <row r="437" spans="1:4" ht="14.25" hidden="1" customHeight="1">
      <c r="A437" t="s">
        <v>580</v>
      </c>
      <c r="B437">
        <v>20</v>
      </c>
      <c r="C437" t="s">
        <v>600</v>
      </c>
      <c r="D437" t="s">
        <v>1487</v>
      </c>
    </row>
    <row r="438" spans="1:4" ht="14.25" hidden="1" customHeight="1">
      <c r="A438" t="s">
        <v>580</v>
      </c>
      <c r="B438">
        <v>21</v>
      </c>
      <c r="C438" t="s">
        <v>601</v>
      </c>
      <c r="D438" t="s">
        <v>1488</v>
      </c>
    </row>
    <row r="439" spans="1:4" ht="14.25" hidden="1" customHeight="1">
      <c r="A439" t="s">
        <v>580</v>
      </c>
      <c r="B439">
        <v>22</v>
      </c>
      <c r="C439" t="s">
        <v>602</v>
      </c>
      <c r="D439" t="s">
        <v>1487</v>
      </c>
    </row>
    <row r="440" spans="1:4" ht="14.25" hidden="1" customHeight="1">
      <c r="A440" t="s">
        <v>580</v>
      </c>
      <c r="B440">
        <v>23</v>
      </c>
      <c r="C440" t="s">
        <v>603</v>
      </c>
      <c r="D440" t="s">
        <v>1487</v>
      </c>
    </row>
    <row r="441" spans="1:4" ht="14.25" hidden="1" customHeight="1">
      <c r="A441" t="s">
        <v>580</v>
      </c>
      <c r="B441">
        <v>24</v>
      </c>
      <c r="C441" t="s">
        <v>604</v>
      </c>
      <c r="D441" t="s">
        <v>1488</v>
      </c>
    </row>
    <row r="442" spans="1:4" ht="14.25" hidden="1" customHeight="1">
      <c r="A442" t="s">
        <v>580</v>
      </c>
      <c r="B442">
        <v>25</v>
      </c>
      <c r="C442" t="s">
        <v>605</v>
      </c>
      <c r="D442" t="s">
        <v>1488</v>
      </c>
    </row>
    <row r="443" spans="1:4" ht="14.25" hidden="1" customHeight="1">
      <c r="A443" t="s">
        <v>580</v>
      </c>
      <c r="B443">
        <v>26</v>
      </c>
      <c r="C443" t="s">
        <v>606</v>
      </c>
      <c r="D443" s="1" t="s">
        <v>1488</v>
      </c>
    </row>
    <row r="444" spans="1:4" ht="14.25" hidden="1" customHeight="1">
      <c r="A444" t="s">
        <v>580</v>
      </c>
      <c r="B444">
        <v>27</v>
      </c>
      <c r="C444" t="s">
        <v>607</v>
      </c>
      <c r="D444" t="s">
        <v>1487</v>
      </c>
    </row>
    <row r="445" spans="1:4" ht="14.25" hidden="1" customHeight="1">
      <c r="A445" t="s">
        <v>580</v>
      </c>
      <c r="B445">
        <v>28</v>
      </c>
      <c r="C445" t="s">
        <v>608</v>
      </c>
      <c r="D445" t="s">
        <v>1488</v>
      </c>
    </row>
    <row r="446" spans="1:4" ht="14.25" hidden="1" customHeight="1">
      <c r="A446" t="s">
        <v>580</v>
      </c>
      <c r="B446">
        <v>29</v>
      </c>
      <c r="C446" t="s">
        <v>609</v>
      </c>
      <c r="D446" t="s">
        <v>1488</v>
      </c>
    </row>
    <row r="447" spans="1:4" ht="14.25" hidden="1" customHeight="1">
      <c r="A447" t="s">
        <v>580</v>
      </c>
      <c r="B447">
        <v>30</v>
      </c>
      <c r="C447" t="s">
        <v>610</v>
      </c>
      <c r="D447" t="s">
        <v>1487</v>
      </c>
    </row>
    <row r="448" spans="1:4" ht="14.25" hidden="1" customHeight="1">
      <c r="A448" t="s">
        <v>580</v>
      </c>
      <c r="B448">
        <v>31</v>
      </c>
      <c r="C448" t="s">
        <v>611</v>
      </c>
      <c r="D448" t="s">
        <v>1488</v>
      </c>
    </row>
    <row r="449" spans="1:4" ht="14.25" hidden="1" customHeight="1">
      <c r="A449" t="s">
        <v>580</v>
      </c>
      <c r="B449">
        <v>32</v>
      </c>
      <c r="C449" t="s">
        <v>612</v>
      </c>
      <c r="D449" t="s">
        <v>1488</v>
      </c>
    </row>
    <row r="450" spans="1:4" ht="14.25" hidden="1" customHeight="1">
      <c r="A450" t="s">
        <v>580</v>
      </c>
      <c r="B450">
        <v>33</v>
      </c>
      <c r="C450" t="s">
        <v>613</v>
      </c>
      <c r="D450" t="s">
        <v>1487</v>
      </c>
    </row>
    <row r="451" spans="1:4" ht="14.25" hidden="1" customHeight="1">
      <c r="A451" t="s">
        <v>580</v>
      </c>
      <c r="B451">
        <v>34</v>
      </c>
      <c r="C451" t="s">
        <v>614</v>
      </c>
      <c r="D451" t="s">
        <v>1487</v>
      </c>
    </row>
    <row r="452" spans="1:4" ht="14.25" hidden="1" customHeight="1">
      <c r="A452" t="s">
        <v>580</v>
      </c>
      <c r="B452">
        <v>35</v>
      </c>
      <c r="C452" t="s">
        <v>615</v>
      </c>
      <c r="D452" t="s">
        <v>1488</v>
      </c>
    </row>
    <row r="453" spans="1:4" ht="14.25" hidden="1" customHeight="1">
      <c r="A453" t="s">
        <v>580</v>
      </c>
      <c r="B453">
        <v>36</v>
      </c>
      <c r="C453" t="s">
        <v>616</v>
      </c>
      <c r="D453" t="s">
        <v>1488</v>
      </c>
    </row>
    <row r="454" spans="1:4" ht="14.25" hidden="1" customHeight="1">
      <c r="A454" t="s">
        <v>580</v>
      </c>
      <c r="B454">
        <v>37</v>
      </c>
      <c r="C454" t="s">
        <v>617</v>
      </c>
      <c r="D454" t="s">
        <v>1488</v>
      </c>
    </row>
    <row r="455" spans="1:4" ht="14.25" hidden="1" customHeight="1">
      <c r="A455" t="s">
        <v>580</v>
      </c>
      <c r="B455">
        <v>38</v>
      </c>
      <c r="C455" t="s">
        <v>618</v>
      </c>
      <c r="D455" t="s">
        <v>1488</v>
      </c>
    </row>
    <row r="456" spans="1:4" ht="14.25" hidden="1" customHeight="1">
      <c r="A456" t="s">
        <v>580</v>
      </c>
      <c r="B456">
        <v>39</v>
      </c>
      <c r="C456" t="s">
        <v>619</v>
      </c>
      <c r="D456" t="s">
        <v>1500</v>
      </c>
    </row>
    <row r="457" spans="1:4" ht="14.25" hidden="1" customHeight="1">
      <c r="A457" t="s">
        <v>580</v>
      </c>
      <c r="B457">
        <v>40</v>
      </c>
      <c r="C457" t="s">
        <v>620</v>
      </c>
      <c r="D457" t="s">
        <v>1487</v>
      </c>
    </row>
    <row r="458" spans="1:4" ht="14.25" hidden="1" customHeight="1">
      <c r="A458" t="s">
        <v>580</v>
      </c>
      <c r="B458">
        <v>41</v>
      </c>
      <c r="C458" t="s">
        <v>621</v>
      </c>
      <c r="D458" t="s">
        <v>1488</v>
      </c>
    </row>
    <row r="459" spans="1:4" ht="14.25" hidden="1" customHeight="1">
      <c r="A459" t="s">
        <v>580</v>
      </c>
      <c r="B459">
        <v>42</v>
      </c>
      <c r="C459" t="s">
        <v>622</v>
      </c>
      <c r="D459" t="s">
        <v>1487</v>
      </c>
    </row>
    <row r="460" spans="1:4" ht="14.25" hidden="1" customHeight="1">
      <c r="A460" t="s">
        <v>580</v>
      </c>
      <c r="B460">
        <v>43</v>
      </c>
      <c r="C460" t="s">
        <v>623</v>
      </c>
      <c r="D460" t="s">
        <v>1487</v>
      </c>
    </row>
    <row r="461" spans="1:4" ht="14.25" hidden="1" customHeight="1">
      <c r="A461" t="s">
        <v>580</v>
      </c>
      <c r="B461">
        <v>44</v>
      </c>
      <c r="C461" t="s">
        <v>624</v>
      </c>
      <c r="D461" t="s">
        <v>1488</v>
      </c>
    </row>
    <row r="462" spans="1:4" ht="14.25" hidden="1" customHeight="1">
      <c r="A462" t="s">
        <v>580</v>
      </c>
      <c r="B462">
        <v>45</v>
      </c>
      <c r="C462" t="s">
        <v>625</v>
      </c>
      <c r="D462" t="s">
        <v>1487</v>
      </c>
    </row>
    <row r="463" spans="1:4" ht="14.25" hidden="1" customHeight="1">
      <c r="A463" t="s">
        <v>580</v>
      </c>
      <c r="B463">
        <v>46</v>
      </c>
      <c r="C463" t="s">
        <v>626</v>
      </c>
      <c r="D463" t="s">
        <v>1487</v>
      </c>
    </row>
    <row r="464" spans="1:4" ht="14.25" hidden="1" customHeight="1">
      <c r="A464" t="s">
        <v>580</v>
      </c>
      <c r="B464">
        <v>47</v>
      </c>
      <c r="C464" t="s">
        <v>627</v>
      </c>
      <c r="D464" t="s">
        <v>1488</v>
      </c>
    </row>
    <row r="465" spans="1:4" ht="14.25" hidden="1" customHeight="1">
      <c r="A465" t="s">
        <v>580</v>
      </c>
      <c r="B465">
        <v>48</v>
      </c>
      <c r="C465" t="s">
        <v>628</v>
      </c>
      <c r="D465" t="s">
        <v>1487</v>
      </c>
    </row>
    <row r="466" spans="1:4" ht="14.25" hidden="1" customHeight="1">
      <c r="A466" t="s">
        <v>580</v>
      </c>
      <c r="B466">
        <v>49</v>
      </c>
      <c r="C466" t="s">
        <v>629</v>
      </c>
      <c r="D466" t="s">
        <v>1487</v>
      </c>
    </row>
    <row r="467" spans="1:4" ht="14.25" hidden="1" customHeight="1">
      <c r="A467" t="s">
        <v>580</v>
      </c>
      <c r="B467">
        <v>50</v>
      </c>
      <c r="C467" t="s">
        <v>630</v>
      </c>
      <c r="D467" t="s">
        <v>1488</v>
      </c>
    </row>
    <row r="468" spans="1:4" ht="14.25" hidden="1" customHeight="1">
      <c r="A468" t="s">
        <v>580</v>
      </c>
      <c r="B468">
        <v>51</v>
      </c>
      <c r="C468" t="s">
        <v>631</v>
      </c>
      <c r="D468" t="s">
        <v>1488</v>
      </c>
    </row>
    <row r="469" spans="1:4" ht="14.25" hidden="1" customHeight="1">
      <c r="A469" t="s">
        <v>580</v>
      </c>
      <c r="B469">
        <v>52</v>
      </c>
      <c r="C469" t="s">
        <v>632</v>
      </c>
      <c r="D469" t="s">
        <v>1488</v>
      </c>
    </row>
    <row r="470" spans="1:4" ht="14.25" hidden="1" customHeight="1">
      <c r="A470" t="s">
        <v>580</v>
      </c>
      <c r="B470">
        <v>53</v>
      </c>
      <c r="C470" t="s">
        <v>633</v>
      </c>
      <c r="D470" t="s">
        <v>1488</v>
      </c>
    </row>
    <row r="471" spans="1:4" ht="14.25" hidden="1" customHeight="1">
      <c r="A471" t="s">
        <v>580</v>
      </c>
      <c r="B471">
        <v>54</v>
      </c>
      <c r="C471" t="s">
        <v>634</v>
      </c>
      <c r="D471" t="s">
        <v>1488</v>
      </c>
    </row>
    <row r="472" spans="1:4" ht="14.25" hidden="1" customHeight="1">
      <c r="A472" t="s">
        <v>580</v>
      </c>
      <c r="B472">
        <v>55</v>
      </c>
      <c r="C472" t="s">
        <v>635</v>
      </c>
      <c r="D472" t="s">
        <v>1487</v>
      </c>
    </row>
    <row r="473" spans="1:4" ht="14.25" hidden="1" customHeight="1">
      <c r="A473" t="s">
        <v>580</v>
      </c>
      <c r="B473">
        <v>56</v>
      </c>
      <c r="C473" t="s">
        <v>636</v>
      </c>
      <c r="D473" t="s">
        <v>1500</v>
      </c>
    </row>
    <row r="474" spans="1:4" ht="14.25" hidden="1" customHeight="1">
      <c r="A474" t="s">
        <v>580</v>
      </c>
      <c r="B474">
        <v>57</v>
      </c>
      <c r="C474" t="s">
        <v>637</v>
      </c>
      <c r="D474" t="s">
        <v>1488</v>
      </c>
    </row>
    <row r="475" spans="1:4" ht="14.25" hidden="1" customHeight="1">
      <c r="A475" t="s">
        <v>580</v>
      </c>
      <c r="B475">
        <v>58</v>
      </c>
      <c r="C475" t="s">
        <v>638</v>
      </c>
      <c r="D475" t="s">
        <v>1488</v>
      </c>
    </row>
    <row r="476" spans="1:4" ht="14.25" hidden="1" customHeight="1">
      <c r="A476" t="s">
        <v>580</v>
      </c>
      <c r="B476">
        <v>59</v>
      </c>
      <c r="C476" t="s">
        <v>639</v>
      </c>
      <c r="D476" t="s">
        <v>1487</v>
      </c>
    </row>
    <row r="477" spans="1:4" ht="14.25" hidden="1" customHeight="1">
      <c r="A477" t="s">
        <v>580</v>
      </c>
      <c r="B477">
        <v>60</v>
      </c>
      <c r="C477" t="s">
        <v>640</v>
      </c>
      <c r="D477" t="s">
        <v>1487</v>
      </c>
    </row>
    <row r="478" spans="1:4" ht="14.25" hidden="1" customHeight="1">
      <c r="A478" t="s">
        <v>580</v>
      </c>
      <c r="B478">
        <v>61</v>
      </c>
      <c r="C478" t="s">
        <v>641</v>
      </c>
      <c r="D478" t="s">
        <v>1488</v>
      </c>
    </row>
    <row r="479" spans="1:4" ht="14.25" hidden="1" customHeight="1">
      <c r="A479" t="s">
        <v>580</v>
      </c>
      <c r="B479">
        <v>62</v>
      </c>
      <c r="C479" t="s">
        <v>642</v>
      </c>
      <c r="D479" t="s">
        <v>1487</v>
      </c>
    </row>
    <row r="480" spans="1:4" ht="14.25" hidden="1" customHeight="1">
      <c r="A480" t="s">
        <v>580</v>
      </c>
      <c r="B480">
        <v>63</v>
      </c>
      <c r="C480" t="s">
        <v>643</v>
      </c>
      <c r="D480" t="s">
        <v>1488</v>
      </c>
    </row>
    <row r="481" spans="1:4" ht="14.25" hidden="1" customHeight="1">
      <c r="A481" t="s">
        <v>580</v>
      </c>
      <c r="B481">
        <v>64</v>
      </c>
      <c r="C481" t="s">
        <v>644</v>
      </c>
      <c r="D481" t="s">
        <v>1488</v>
      </c>
    </row>
    <row r="482" spans="1:4" ht="14.25" hidden="1" customHeight="1">
      <c r="A482" t="s">
        <v>580</v>
      </c>
      <c r="B482">
        <v>65</v>
      </c>
      <c r="C482" t="s">
        <v>645</v>
      </c>
      <c r="D482" t="s">
        <v>1488</v>
      </c>
    </row>
    <row r="483" spans="1:4" ht="14.25" hidden="1" customHeight="1">
      <c r="A483" t="s">
        <v>580</v>
      </c>
      <c r="B483">
        <v>66</v>
      </c>
      <c r="C483" t="s">
        <v>646</v>
      </c>
      <c r="D483" t="s">
        <v>1488</v>
      </c>
    </row>
    <row r="484" spans="1:4" ht="14.25" hidden="1" customHeight="1">
      <c r="A484" t="s">
        <v>580</v>
      </c>
      <c r="B484">
        <v>67</v>
      </c>
      <c r="C484" t="s">
        <v>647</v>
      </c>
      <c r="D484" t="s">
        <v>1488</v>
      </c>
    </row>
    <row r="485" spans="1:4" ht="14.25" hidden="1" customHeight="1">
      <c r="A485" t="s">
        <v>580</v>
      </c>
      <c r="B485">
        <v>68</v>
      </c>
      <c r="C485" t="s">
        <v>648</v>
      </c>
      <c r="D485" t="s">
        <v>1488</v>
      </c>
    </row>
    <row r="486" spans="1:4" ht="14.25" hidden="1" customHeight="1">
      <c r="A486" t="s">
        <v>580</v>
      </c>
      <c r="B486">
        <v>69</v>
      </c>
      <c r="C486" t="s">
        <v>649</v>
      </c>
      <c r="D486" t="s">
        <v>1488</v>
      </c>
    </row>
    <row r="487" spans="1:4" ht="14.25" hidden="1" customHeight="1">
      <c r="A487" t="s">
        <v>580</v>
      </c>
      <c r="B487">
        <v>70</v>
      </c>
      <c r="C487" t="s">
        <v>650</v>
      </c>
      <c r="D487" t="s">
        <v>1488</v>
      </c>
    </row>
    <row r="488" spans="1:4" ht="14.25" hidden="1" customHeight="1">
      <c r="A488" t="s">
        <v>580</v>
      </c>
      <c r="B488">
        <v>71</v>
      </c>
      <c r="C488" t="s">
        <v>651</v>
      </c>
      <c r="D488" t="s">
        <v>1487</v>
      </c>
    </row>
    <row r="489" spans="1:4" ht="14.25" hidden="1" customHeight="1">
      <c r="A489" t="s">
        <v>580</v>
      </c>
      <c r="B489">
        <v>72</v>
      </c>
      <c r="C489" t="s">
        <v>652</v>
      </c>
      <c r="D489" t="s">
        <v>1488</v>
      </c>
    </row>
    <row r="490" spans="1:4" ht="14.25" hidden="1" customHeight="1">
      <c r="A490" t="s">
        <v>580</v>
      </c>
      <c r="B490">
        <v>73</v>
      </c>
      <c r="C490" t="s">
        <v>653</v>
      </c>
      <c r="D490" t="s">
        <v>1488</v>
      </c>
    </row>
    <row r="491" spans="1:4" ht="14.25" hidden="1" customHeight="1">
      <c r="A491" t="s">
        <v>580</v>
      </c>
      <c r="B491">
        <v>74</v>
      </c>
      <c r="C491" t="s">
        <v>654</v>
      </c>
      <c r="D491" t="s">
        <v>1488</v>
      </c>
    </row>
    <row r="492" spans="1:4" ht="14.25" hidden="1" customHeight="1">
      <c r="A492" t="s">
        <v>580</v>
      </c>
      <c r="B492">
        <v>75</v>
      </c>
      <c r="C492" t="s">
        <v>655</v>
      </c>
      <c r="D492" t="s">
        <v>1488</v>
      </c>
    </row>
    <row r="493" spans="1:4" ht="14.25" hidden="1" customHeight="1">
      <c r="A493" t="s">
        <v>580</v>
      </c>
      <c r="B493">
        <v>76</v>
      </c>
      <c r="C493" t="s">
        <v>656</v>
      </c>
      <c r="D493" t="s">
        <v>1488</v>
      </c>
    </row>
    <row r="494" spans="1:4" ht="14.25" hidden="1" customHeight="1">
      <c r="A494" t="s">
        <v>580</v>
      </c>
      <c r="B494">
        <v>77</v>
      </c>
      <c r="C494" t="s">
        <v>657</v>
      </c>
      <c r="D494" t="s">
        <v>1488</v>
      </c>
    </row>
    <row r="495" spans="1:4" ht="14.25" hidden="1" customHeight="1">
      <c r="A495" t="s">
        <v>580</v>
      </c>
      <c r="B495">
        <v>78</v>
      </c>
      <c r="C495" t="s">
        <v>658</v>
      </c>
      <c r="D495" t="s">
        <v>1500</v>
      </c>
    </row>
    <row r="496" spans="1:4" ht="14.25" hidden="1" customHeight="1">
      <c r="A496" t="s">
        <v>580</v>
      </c>
      <c r="B496">
        <v>79</v>
      </c>
      <c r="C496" t="s">
        <v>659</v>
      </c>
      <c r="D496" t="s">
        <v>1488</v>
      </c>
    </row>
    <row r="497" spans="1:4" ht="14.25" hidden="1" customHeight="1">
      <c r="A497" t="s">
        <v>580</v>
      </c>
      <c r="B497">
        <v>80</v>
      </c>
      <c r="C497" t="s">
        <v>660</v>
      </c>
      <c r="D497" t="s">
        <v>1487</v>
      </c>
    </row>
    <row r="498" spans="1:4" ht="14.25" hidden="1" customHeight="1">
      <c r="A498" t="s">
        <v>580</v>
      </c>
      <c r="B498">
        <v>81</v>
      </c>
      <c r="C498" t="s">
        <v>661</v>
      </c>
      <c r="D498" t="s">
        <v>1487</v>
      </c>
    </row>
    <row r="499" spans="1:4" ht="14.25" hidden="1" customHeight="1">
      <c r="A499" t="s">
        <v>580</v>
      </c>
      <c r="B499">
        <v>82</v>
      </c>
      <c r="C499" t="s">
        <v>662</v>
      </c>
      <c r="D499" t="s">
        <v>1488</v>
      </c>
    </row>
    <row r="500" spans="1:4" ht="14.25" hidden="1" customHeight="1">
      <c r="A500" t="s">
        <v>580</v>
      </c>
      <c r="B500">
        <v>83</v>
      </c>
      <c r="C500" t="s">
        <v>663</v>
      </c>
      <c r="D500" t="s">
        <v>1488</v>
      </c>
    </row>
    <row r="501" spans="1:4" ht="14.25" hidden="1" customHeight="1">
      <c r="A501" t="s">
        <v>580</v>
      </c>
      <c r="B501">
        <v>84</v>
      </c>
      <c r="C501" t="s">
        <v>664</v>
      </c>
      <c r="D501" t="s">
        <v>1488</v>
      </c>
    </row>
    <row r="502" spans="1:4" ht="14.25" hidden="1" customHeight="1">
      <c r="A502" t="s">
        <v>580</v>
      </c>
      <c r="B502">
        <v>85</v>
      </c>
      <c r="C502" t="s">
        <v>665</v>
      </c>
      <c r="D502" t="s">
        <v>1488</v>
      </c>
    </row>
    <row r="503" spans="1:4" ht="14.25" hidden="1" customHeight="1">
      <c r="A503" t="s">
        <v>580</v>
      </c>
      <c r="B503">
        <v>86</v>
      </c>
      <c r="C503" t="s">
        <v>666</v>
      </c>
      <c r="D503" t="s">
        <v>1488</v>
      </c>
    </row>
    <row r="504" spans="1:4" ht="14.25" hidden="1" customHeight="1">
      <c r="A504" t="s">
        <v>580</v>
      </c>
      <c r="B504">
        <v>87</v>
      </c>
      <c r="C504" t="s">
        <v>667</v>
      </c>
      <c r="D504" t="s">
        <v>1488</v>
      </c>
    </row>
    <row r="505" spans="1:4" ht="14.25" hidden="1" customHeight="1">
      <c r="A505" t="s">
        <v>580</v>
      </c>
      <c r="B505">
        <v>88</v>
      </c>
      <c r="C505" t="s">
        <v>668</v>
      </c>
      <c r="D505" t="s">
        <v>1488</v>
      </c>
    </row>
    <row r="506" spans="1:4" ht="14.25" hidden="1" customHeight="1">
      <c r="A506" t="s">
        <v>580</v>
      </c>
      <c r="B506">
        <v>89</v>
      </c>
      <c r="C506" t="s">
        <v>669</v>
      </c>
      <c r="D506" t="s">
        <v>1488</v>
      </c>
    </row>
    <row r="507" spans="1:4" ht="14.25" hidden="1" customHeight="1">
      <c r="A507" t="s">
        <v>580</v>
      </c>
      <c r="B507">
        <v>90</v>
      </c>
      <c r="C507" t="s">
        <v>670</v>
      </c>
      <c r="D507" t="s">
        <v>1488</v>
      </c>
    </row>
    <row r="508" spans="1:4" ht="14.25" hidden="1" customHeight="1">
      <c r="A508" t="s">
        <v>580</v>
      </c>
      <c r="B508">
        <v>91</v>
      </c>
      <c r="C508" t="s">
        <v>671</v>
      </c>
      <c r="D508" t="s">
        <v>1488</v>
      </c>
    </row>
    <row r="509" spans="1:4" ht="14.25" hidden="1" customHeight="1">
      <c r="A509" t="s">
        <v>580</v>
      </c>
      <c r="B509">
        <v>92</v>
      </c>
      <c r="C509" t="s">
        <v>672</v>
      </c>
      <c r="D509" t="s">
        <v>1488</v>
      </c>
    </row>
    <row r="510" spans="1:4" ht="14.25" hidden="1" customHeight="1">
      <c r="A510" t="s">
        <v>580</v>
      </c>
      <c r="B510">
        <v>93</v>
      </c>
      <c r="C510" t="s">
        <v>673</v>
      </c>
      <c r="D510" t="s">
        <v>1488</v>
      </c>
    </row>
    <row r="511" spans="1:4" ht="14.25" hidden="1" customHeight="1">
      <c r="A511" t="s">
        <v>580</v>
      </c>
      <c r="B511">
        <v>94</v>
      </c>
      <c r="C511" t="s">
        <v>674</v>
      </c>
      <c r="D511" t="s">
        <v>1488</v>
      </c>
    </row>
    <row r="512" spans="1:4" ht="14.25" hidden="1" customHeight="1">
      <c r="A512" t="s">
        <v>580</v>
      </c>
      <c r="B512">
        <v>95</v>
      </c>
      <c r="C512" t="s">
        <v>675</v>
      </c>
      <c r="D512" t="s">
        <v>1488</v>
      </c>
    </row>
    <row r="513" spans="1:4" ht="14.25" hidden="1" customHeight="1">
      <c r="A513" t="s">
        <v>580</v>
      </c>
      <c r="B513">
        <v>96</v>
      </c>
      <c r="C513" t="s">
        <v>676</v>
      </c>
      <c r="D513" t="s">
        <v>1488</v>
      </c>
    </row>
    <row r="514" spans="1:4" ht="14.25" hidden="1" customHeight="1">
      <c r="A514" t="s">
        <v>580</v>
      </c>
      <c r="B514">
        <v>97</v>
      </c>
      <c r="C514" t="s">
        <v>677</v>
      </c>
      <c r="D514" t="s">
        <v>1488</v>
      </c>
    </row>
    <row r="515" spans="1:4" ht="14.25" hidden="1" customHeight="1">
      <c r="A515" t="s">
        <v>580</v>
      </c>
      <c r="B515">
        <v>98</v>
      </c>
      <c r="C515" t="s">
        <v>678</v>
      </c>
      <c r="D515" t="s">
        <v>1488</v>
      </c>
    </row>
    <row r="516" spans="1:4" ht="14.25" hidden="1" customHeight="1">
      <c r="A516" t="s">
        <v>580</v>
      </c>
      <c r="B516">
        <v>99</v>
      </c>
      <c r="C516" t="s">
        <v>679</v>
      </c>
      <c r="D516" t="s">
        <v>1488</v>
      </c>
    </row>
    <row r="517" spans="1:4" ht="14.25" hidden="1" customHeight="1">
      <c r="A517" t="s">
        <v>580</v>
      </c>
      <c r="B517">
        <v>100</v>
      </c>
      <c r="C517" t="s">
        <v>680</v>
      </c>
      <c r="D517" t="s">
        <v>1500</v>
      </c>
    </row>
    <row r="518" spans="1:4" ht="14.25" hidden="1" customHeight="1">
      <c r="A518" t="s">
        <v>580</v>
      </c>
      <c r="B518">
        <v>101</v>
      </c>
      <c r="C518" t="s">
        <v>681</v>
      </c>
      <c r="D518" t="s">
        <v>1488</v>
      </c>
    </row>
    <row r="519" spans="1:4" ht="14.25" hidden="1" customHeight="1">
      <c r="A519" t="s">
        <v>580</v>
      </c>
      <c r="B519">
        <v>102</v>
      </c>
      <c r="C519" t="s">
        <v>682</v>
      </c>
      <c r="D519" t="s">
        <v>1487</v>
      </c>
    </row>
    <row r="520" spans="1:4" ht="14.25" hidden="1" customHeight="1">
      <c r="A520" t="s">
        <v>580</v>
      </c>
      <c r="B520">
        <v>103</v>
      </c>
      <c r="C520" t="s">
        <v>683</v>
      </c>
      <c r="D520" t="s">
        <v>1488</v>
      </c>
    </row>
    <row r="521" spans="1:4" ht="14.25" hidden="1" customHeight="1">
      <c r="A521" t="s">
        <v>580</v>
      </c>
      <c r="B521">
        <v>104</v>
      </c>
      <c r="C521" t="s">
        <v>684</v>
      </c>
      <c r="D521" t="s">
        <v>1488</v>
      </c>
    </row>
    <row r="522" spans="1:4" ht="14.25" hidden="1" customHeight="1">
      <c r="A522" t="s">
        <v>580</v>
      </c>
      <c r="B522">
        <v>105</v>
      </c>
      <c r="C522" t="s">
        <v>685</v>
      </c>
      <c r="D522" t="s">
        <v>1488</v>
      </c>
    </row>
    <row r="523" spans="1:4" ht="14.25" hidden="1" customHeight="1">
      <c r="A523" t="s">
        <v>580</v>
      </c>
      <c r="B523">
        <v>106</v>
      </c>
      <c r="C523" t="s">
        <v>686</v>
      </c>
      <c r="D523" t="s">
        <v>1500</v>
      </c>
    </row>
    <row r="524" spans="1:4" ht="14.25" hidden="1" customHeight="1">
      <c r="A524" t="s">
        <v>580</v>
      </c>
      <c r="B524">
        <v>107</v>
      </c>
      <c r="C524" t="s">
        <v>687</v>
      </c>
      <c r="D524" t="s">
        <v>1488</v>
      </c>
    </row>
    <row r="525" spans="1:4" ht="14.25" hidden="1" customHeight="1">
      <c r="A525" t="s">
        <v>580</v>
      </c>
      <c r="B525">
        <v>108</v>
      </c>
      <c r="C525" t="s">
        <v>688</v>
      </c>
      <c r="D525" t="s">
        <v>1500</v>
      </c>
    </row>
    <row r="526" spans="1:4" ht="14.25" hidden="1" customHeight="1">
      <c r="A526" t="s">
        <v>580</v>
      </c>
      <c r="B526">
        <v>109</v>
      </c>
      <c r="C526" t="s">
        <v>689</v>
      </c>
      <c r="D526" t="s">
        <v>1488</v>
      </c>
    </row>
    <row r="527" spans="1:4" ht="14.25" hidden="1" customHeight="1">
      <c r="A527" t="s">
        <v>580</v>
      </c>
      <c r="B527">
        <v>110</v>
      </c>
      <c r="C527" t="s">
        <v>690</v>
      </c>
      <c r="D527" t="s">
        <v>1488</v>
      </c>
    </row>
    <row r="528" spans="1:4" ht="14.25" hidden="1" customHeight="1">
      <c r="A528" t="s">
        <v>580</v>
      </c>
      <c r="B528">
        <v>111</v>
      </c>
      <c r="C528" t="s">
        <v>691</v>
      </c>
      <c r="D528" t="s">
        <v>1487</v>
      </c>
    </row>
    <row r="529" spans="1:4" ht="14.25" hidden="1" customHeight="1">
      <c r="A529" t="s">
        <v>580</v>
      </c>
      <c r="B529">
        <v>112</v>
      </c>
      <c r="C529" t="s">
        <v>692</v>
      </c>
      <c r="D529" t="s">
        <v>1488</v>
      </c>
    </row>
    <row r="530" spans="1:4" ht="14.25" hidden="1" customHeight="1">
      <c r="A530" t="s">
        <v>580</v>
      </c>
      <c r="B530">
        <v>113</v>
      </c>
      <c r="C530" t="s">
        <v>693</v>
      </c>
      <c r="D530" t="s">
        <v>1488</v>
      </c>
    </row>
    <row r="531" spans="1:4" ht="14.25" hidden="1" customHeight="1">
      <c r="A531" t="s">
        <v>580</v>
      </c>
      <c r="B531">
        <v>114</v>
      </c>
      <c r="C531" t="s">
        <v>694</v>
      </c>
      <c r="D531" t="s">
        <v>1500</v>
      </c>
    </row>
    <row r="532" spans="1:4" ht="14.25" hidden="1" customHeight="1">
      <c r="A532" t="s">
        <v>580</v>
      </c>
      <c r="B532">
        <v>115</v>
      </c>
      <c r="C532" t="s">
        <v>695</v>
      </c>
      <c r="D532" t="s">
        <v>1488</v>
      </c>
    </row>
    <row r="533" spans="1:4" ht="14.25" hidden="1" customHeight="1">
      <c r="A533" t="s">
        <v>580</v>
      </c>
      <c r="B533">
        <v>116</v>
      </c>
      <c r="C533" t="s">
        <v>696</v>
      </c>
      <c r="D533" t="s">
        <v>1488</v>
      </c>
    </row>
    <row r="534" spans="1:4" ht="14.25" hidden="1" customHeight="1">
      <c r="A534" t="s">
        <v>580</v>
      </c>
      <c r="B534">
        <v>117</v>
      </c>
      <c r="C534" t="s">
        <v>697</v>
      </c>
      <c r="D534" t="s">
        <v>1488</v>
      </c>
    </row>
    <row r="535" spans="1:4" ht="14.25" hidden="1" customHeight="1">
      <c r="A535" t="s">
        <v>580</v>
      </c>
      <c r="B535">
        <v>118</v>
      </c>
      <c r="C535" t="s">
        <v>698</v>
      </c>
      <c r="D535" t="s">
        <v>1488</v>
      </c>
    </row>
    <row r="536" spans="1:4" ht="14.25" hidden="1" customHeight="1">
      <c r="A536" t="s">
        <v>580</v>
      </c>
      <c r="B536">
        <v>119</v>
      </c>
      <c r="C536" t="s">
        <v>699</v>
      </c>
      <c r="D536" t="s">
        <v>1488</v>
      </c>
    </row>
    <row r="537" spans="1:4" ht="14.25" hidden="1" customHeight="1">
      <c r="A537" t="s">
        <v>709</v>
      </c>
      <c r="B537">
        <v>1</v>
      </c>
      <c r="C537" t="s">
        <v>710</v>
      </c>
      <c r="D537" t="s">
        <v>1488</v>
      </c>
    </row>
    <row r="538" spans="1:4" ht="14.25" hidden="1" customHeight="1">
      <c r="A538" t="s">
        <v>709</v>
      </c>
      <c r="B538">
        <v>2</v>
      </c>
      <c r="C538" t="s">
        <v>711</v>
      </c>
      <c r="D538" t="s">
        <v>1488</v>
      </c>
    </row>
    <row r="539" spans="1:4" ht="14.25" hidden="1" customHeight="1">
      <c r="A539" t="s">
        <v>709</v>
      </c>
      <c r="B539">
        <v>3</v>
      </c>
      <c r="C539" t="s">
        <v>712</v>
      </c>
      <c r="D539" t="s">
        <v>1488</v>
      </c>
    </row>
    <row r="540" spans="1:4" ht="14.25" hidden="1" customHeight="1">
      <c r="A540" t="s">
        <v>709</v>
      </c>
      <c r="B540">
        <v>4</v>
      </c>
      <c r="C540" t="s">
        <v>713</v>
      </c>
      <c r="D540" t="s">
        <v>1488</v>
      </c>
    </row>
    <row r="541" spans="1:4" ht="14.25" hidden="1" customHeight="1">
      <c r="A541" t="s">
        <v>709</v>
      </c>
      <c r="B541">
        <v>5</v>
      </c>
      <c r="C541" t="s">
        <v>714</v>
      </c>
      <c r="D541" t="s">
        <v>1487</v>
      </c>
    </row>
    <row r="542" spans="1:4" ht="14.25" hidden="1" customHeight="1">
      <c r="A542" t="s">
        <v>709</v>
      </c>
      <c r="B542">
        <v>6</v>
      </c>
      <c r="C542" t="s">
        <v>715</v>
      </c>
      <c r="D542" t="s">
        <v>1488</v>
      </c>
    </row>
    <row r="543" spans="1:4" ht="14.25" hidden="1" customHeight="1">
      <c r="A543" t="s">
        <v>709</v>
      </c>
      <c r="B543">
        <v>7</v>
      </c>
      <c r="C543" t="s">
        <v>716</v>
      </c>
      <c r="D543" t="s">
        <v>1488</v>
      </c>
    </row>
    <row r="544" spans="1:4" ht="14.25" hidden="1" customHeight="1">
      <c r="A544" t="s">
        <v>709</v>
      </c>
      <c r="B544">
        <v>8</v>
      </c>
      <c r="C544" t="s">
        <v>717</v>
      </c>
      <c r="D544" t="s">
        <v>1487</v>
      </c>
    </row>
    <row r="545" spans="1:4" ht="14.25" hidden="1" customHeight="1">
      <c r="A545" t="s">
        <v>709</v>
      </c>
      <c r="B545">
        <v>9</v>
      </c>
      <c r="C545" t="s">
        <v>718</v>
      </c>
      <c r="D545" t="s">
        <v>1488</v>
      </c>
    </row>
    <row r="546" spans="1:4" ht="14.25" hidden="1" customHeight="1">
      <c r="A546" t="s">
        <v>709</v>
      </c>
      <c r="B546">
        <v>10</v>
      </c>
      <c r="C546" t="s">
        <v>719</v>
      </c>
      <c r="D546" t="s">
        <v>1487</v>
      </c>
    </row>
    <row r="547" spans="1:4" ht="14.25" hidden="1" customHeight="1">
      <c r="A547" t="s">
        <v>709</v>
      </c>
      <c r="B547">
        <v>11</v>
      </c>
      <c r="C547" t="s">
        <v>720</v>
      </c>
      <c r="D547" t="s">
        <v>1487</v>
      </c>
    </row>
    <row r="548" spans="1:4" ht="14.25" hidden="1" customHeight="1">
      <c r="A548" t="s">
        <v>709</v>
      </c>
      <c r="B548">
        <v>12</v>
      </c>
      <c r="C548" t="s">
        <v>721</v>
      </c>
      <c r="D548" t="s">
        <v>1487</v>
      </c>
    </row>
    <row r="549" spans="1:4" ht="14.25" hidden="1" customHeight="1">
      <c r="A549" t="s">
        <v>709</v>
      </c>
      <c r="B549">
        <v>13</v>
      </c>
      <c r="C549" t="s">
        <v>722</v>
      </c>
      <c r="D549" t="s">
        <v>1487</v>
      </c>
    </row>
    <row r="550" spans="1:4" ht="14.25" hidden="1" customHeight="1">
      <c r="A550" t="s">
        <v>709</v>
      </c>
      <c r="B550">
        <v>14</v>
      </c>
      <c r="C550" t="s">
        <v>723</v>
      </c>
      <c r="D550" t="s">
        <v>1488</v>
      </c>
    </row>
    <row r="551" spans="1:4" ht="14.25" hidden="1" customHeight="1">
      <c r="A551" t="s">
        <v>709</v>
      </c>
      <c r="B551">
        <v>15</v>
      </c>
      <c r="C551" t="s">
        <v>724</v>
      </c>
      <c r="D551" t="s">
        <v>1488</v>
      </c>
    </row>
    <row r="552" spans="1:4" ht="14.25" hidden="1" customHeight="1">
      <c r="A552" t="s">
        <v>709</v>
      </c>
      <c r="B552">
        <v>16</v>
      </c>
      <c r="C552" t="s">
        <v>725</v>
      </c>
      <c r="D552" t="s">
        <v>1487</v>
      </c>
    </row>
    <row r="553" spans="1:4" ht="14.25" hidden="1" customHeight="1">
      <c r="A553" t="s">
        <v>709</v>
      </c>
      <c r="B553">
        <v>17</v>
      </c>
      <c r="C553" t="s">
        <v>726</v>
      </c>
      <c r="D553" t="s">
        <v>1487</v>
      </c>
    </row>
    <row r="554" spans="1:4" ht="14.25" hidden="1" customHeight="1">
      <c r="A554" t="s">
        <v>709</v>
      </c>
      <c r="B554">
        <v>18</v>
      </c>
      <c r="C554" t="s">
        <v>727</v>
      </c>
      <c r="D554" t="s">
        <v>1488</v>
      </c>
    </row>
    <row r="555" spans="1:4" ht="14.25" hidden="1" customHeight="1">
      <c r="A555" t="s">
        <v>709</v>
      </c>
      <c r="B555">
        <v>19</v>
      </c>
      <c r="C555" t="s">
        <v>728</v>
      </c>
      <c r="D555" t="s">
        <v>1488</v>
      </c>
    </row>
    <row r="556" spans="1:4" ht="14.25" hidden="1" customHeight="1">
      <c r="A556" t="s">
        <v>709</v>
      </c>
      <c r="B556">
        <v>20</v>
      </c>
      <c r="C556" t="s">
        <v>729</v>
      </c>
      <c r="D556" t="s">
        <v>1488</v>
      </c>
    </row>
    <row r="557" spans="1:4" ht="14.25" hidden="1" customHeight="1">
      <c r="A557" t="s">
        <v>709</v>
      </c>
      <c r="B557">
        <v>21</v>
      </c>
      <c r="C557" t="s">
        <v>730</v>
      </c>
      <c r="D557" t="s">
        <v>1488</v>
      </c>
    </row>
    <row r="558" spans="1:4" ht="14.25" hidden="1" customHeight="1">
      <c r="A558" t="s">
        <v>709</v>
      </c>
      <c r="B558">
        <v>22</v>
      </c>
      <c r="C558" t="s">
        <v>731</v>
      </c>
      <c r="D558" t="s">
        <v>1487</v>
      </c>
    </row>
    <row r="559" spans="1:4" ht="14.25" hidden="1" customHeight="1">
      <c r="A559" t="s">
        <v>732</v>
      </c>
      <c r="B559">
        <v>1</v>
      </c>
      <c r="C559" t="s">
        <v>733</v>
      </c>
      <c r="D559" t="s">
        <v>1488</v>
      </c>
    </row>
    <row r="560" spans="1:4" ht="14.25" hidden="1" customHeight="1">
      <c r="A560" t="s">
        <v>732</v>
      </c>
      <c r="B560">
        <v>2</v>
      </c>
      <c r="C560" t="s">
        <v>734</v>
      </c>
      <c r="D560" t="s">
        <v>1488</v>
      </c>
    </row>
    <row r="561" spans="1:4" ht="14.25" hidden="1" customHeight="1">
      <c r="A561" t="s">
        <v>732</v>
      </c>
      <c r="B561">
        <v>3</v>
      </c>
      <c r="C561" t="s">
        <v>735</v>
      </c>
      <c r="D561" t="s">
        <v>1488</v>
      </c>
    </row>
    <row r="562" spans="1:4" ht="14.25" hidden="1" customHeight="1">
      <c r="A562" t="s">
        <v>732</v>
      </c>
      <c r="B562">
        <v>4</v>
      </c>
      <c r="C562" t="s">
        <v>736</v>
      </c>
      <c r="D562" t="s">
        <v>1488</v>
      </c>
    </row>
    <row r="563" spans="1:4" ht="14.25" hidden="1" customHeight="1">
      <c r="A563" t="s">
        <v>732</v>
      </c>
      <c r="B563">
        <v>5</v>
      </c>
      <c r="C563" t="s">
        <v>737</v>
      </c>
      <c r="D563" t="s">
        <v>1488</v>
      </c>
    </row>
    <row r="564" spans="1:4" ht="14.25" hidden="1" customHeight="1">
      <c r="A564" t="s">
        <v>732</v>
      </c>
      <c r="B564">
        <v>6</v>
      </c>
      <c r="C564" t="s">
        <v>738</v>
      </c>
      <c r="D564" t="s">
        <v>1488</v>
      </c>
    </row>
    <row r="565" spans="1:4" ht="14.25" hidden="1" customHeight="1">
      <c r="A565" t="s">
        <v>732</v>
      </c>
      <c r="B565">
        <v>7</v>
      </c>
      <c r="C565" t="s">
        <v>739</v>
      </c>
      <c r="D565" t="s">
        <v>1488</v>
      </c>
    </row>
    <row r="566" spans="1:4" ht="14.25" hidden="1" customHeight="1">
      <c r="A566" t="s">
        <v>732</v>
      </c>
      <c r="B566">
        <v>8</v>
      </c>
      <c r="C566" t="s">
        <v>740</v>
      </c>
      <c r="D566" t="s">
        <v>1488</v>
      </c>
    </row>
    <row r="567" spans="1:4" ht="14.25" hidden="1" customHeight="1">
      <c r="A567" t="s">
        <v>732</v>
      </c>
      <c r="B567">
        <v>9</v>
      </c>
      <c r="C567" t="s">
        <v>741</v>
      </c>
      <c r="D567" t="s">
        <v>1487</v>
      </c>
    </row>
    <row r="568" spans="1:4" ht="14.25" hidden="1" customHeight="1">
      <c r="A568" t="s">
        <v>732</v>
      </c>
      <c r="B568">
        <v>10</v>
      </c>
      <c r="C568" t="s">
        <v>742</v>
      </c>
      <c r="D568" t="s">
        <v>1488</v>
      </c>
    </row>
    <row r="569" spans="1:4" ht="14.25" hidden="1" customHeight="1">
      <c r="A569" t="s">
        <v>732</v>
      </c>
      <c r="B569">
        <v>11</v>
      </c>
      <c r="C569" t="s">
        <v>743</v>
      </c>
      <c r="D569" t="s">
        <v>1488</v>
      </c>
    </row>
    <row r="570" spans="1:4" ht="14.25" hidden="1" customHeight="1">
      <c r="A570" t="s">
        <v>732</v>
      </c>
      <c r="B570">
        <v>12</v>
      </c>
      <c r="C570" t="s">
        <v>744</v>
      </c>
      <c r="D570" t="s">
        <v>1488</v>
      </c>
    </row>
    <row r="571" spans="1:4" ht="14.25" hidden="1" customHeight="1">
      <c r="A571" t="s">
        <v>732</v>
      </c>
      <c r="B571">
        <v>13</v>
      </c>
      <c r="C571" t="s">
        <v>745</v>
      </c>
      <c r="D571" t="s">
        <v>1488</v>
      </c>
    </row>
    <row r="572" spans="1:4" ht="14.25" hidden="1" customHeight="1">
      <c r="A572" t="s">
        <v>732</v>
      </c>
      <c r="B572">
        <v>14</v>
      </c>
      <c r="C572" t="s">
        <v>746</v>
      </c>
      <c r="D572" t="s">
        <v>1488</v>
      </c>
    </row>
    <row r="573" spans="1:4" ht="14.25" hidden="1" customHeight="1">
      <c r="A573" t="s">
        <v>732</v>
      </c>
      <c r="B573">
        <v>15</v>
      </c>
      <c r="C573" t="s">
        <v>747</v>
      </c>
      <c r="D573" t="s">
        <v>1488</v>
      </c>
    </row>
    <row r="574" spans="1:4" ht="14.25" hidden="1" customHeight="1">
      <c r="A574" t="s">
        <v>732</v>
      </c>
      <c r="B574">
        <v>16</v>
      </c>
      <c r="C574" t="s">
        <v>748</v>
      </c>
      <c r="D574" t="s">
        <v>1487</v>
      </c>
    </row>
    <row r="575" spans="1:4" ht="14.25" hidden="1" customHeight="1">
      <c r="A575" t="s">
        <v>732</v>
      </c>
      <c r="B575">
        <v>17</v>
      </c>
      <c r="C575" t="s">
        <v>749</v>
      </c>
      <c r="D575" t="s">
        <v>1488</v>
      </c>
    </row>
    <row r="576" spans="1:4" ht="14.25" hidden="1" customHeight="1">
      <c r="A576" t="s">
        <v>732</v>
      </c>
      <c r="B576">
        <v>18</v>
      </c>
      <c r="C576" t="s">
        <v>750</v>
      </c>
      <c r="D576" t="s">
        <v>1488</v>
      </c>
    </row>
    <row r="577" spans="1:4" ht="14.25" hidden="1" customHeight="1">
      <c r="A577" t="s">
        <v>732</v>
      </c>
      <c r="B577">
        <v>19</v>
      </c>
      <c r="C577" t="s">
        <v>751</v>
      </c>
      <c r="D577" t="s">
        <v>1488</v>
      </c>
    </row>
    <row r="578" spans="1:4" ht="14.25" hidden="1" customHeight="1">
      <c r="A578" t="s">
        <v>732</v>
      </c>
      <c r="B578">
        <v>20</v>
      </c>
      <c r="C578" t="s">
        <v>752</v>
      </c>
      <c r="D578" t="s">
        <v>1487</v>
      </c>
    </row>
    <row r="579" spans="1:4" ht="14.25" hidden="1" customHeight="1">
      <c r="A579" t="s">
        <v>732</v>
      </c>
      <c r="B579">
        <v>21</v>
      </c>
      <c r="C579" t="s">
        <v>753</v>
      </c>
      <c r="D579" t="s">
        <v>1488</v>
      </c>
    </row>
    <row r="580" spans="1:4" ht="14.25" hidden="1" customHeight="1">
      <c r="A580" t="s">
        <v>732</v>
      </c>
      <c r="B580">
        <v>22</v>
      </c>
      <c r="C580" t="s">
        <v>754</v>
      </c>
      <c r="D580" t="s">
        <v>1488</v>
      </c>
    </row>
    <row r="581" spans="1:4" ht="14.25" hidden="1" customHeight="1">
      <c r="A581" t="s">
        <v>732</v>
      </c>
      <c r="B581">
        <v>23</v>
      </c>
      <c r="C581" t="s">
        <v>755</v>
      </c>
      <c r="D581" t="s">
        <v>1488</v>
      </c>
    </row>
    <row r="582" spans="1:4" ht="14.25" hidden="1" customHeight="1">
      <c r="A582" t="s">
        <v>732</v>
      </c>
      <c r="B582">
        <v>24</v>
      </c>
      <c r="C582" t="s">
        <v>756</v>
      </c>
      <c r="D582" t="s">
        <v>1488</v>
      </c>
    </row>
    <row r="583" spans="1:4" ht="14.25" hidden="1" customHeight="1">
      <c r="A583" t="s">
        <v>732</v>
      </c>
      <c r="B583">
        <v>25</v>
      </c>
      <c r="C583" t="s">
        <v>757</v>
      </c>
      <c r="D583" t="s">
        <v>1487</v>
      </c>
    </row>
    <row r="584" spans="1:4" ht="14.25" hidden="1" customHeight="1">
      <c r="A584" t="s">
        <v>732</v>
      </c>
      <c r="B584">
        <v>26</v>
      </c>
      <c r="C584" t="s">
        <v>758</v>
      </c>
      <c r="D584" t="s">
        <v>1488</v>
      </c>
    </row>
    <row r="585" spans="1:4" ht="14.25" hidden="1" customHeight="1">
      <c r="A585" t="s">
        <v>732</v>
      </c>
      <c r="B585">
        <v>27</v>
      </c>
      <c r="C585" t="s">
        <v>759</v>
      </c>
      <c r="D585" t="s">
        <v>1488</v>
      </c>
    </row>
    <row r="586" spans="1:4" ht="14.25" hidden="1" customHeight="1">
      <c r="A586" t="s">
        <v>732</v>
      </c>
      <c r="B586">
        <v>28</v>
      </c>
      <c r="C586" t="s">
        <v>760</v>
      </c>
      <c r="D586" t="s">
        <v>1488</v>
      </c>
    </row>
    <row r="587" spans="1:4" ht="14.25" hidden="1" customHeight="1">
      <c r="A587" t="s">
        <v>732</v>
      </c>
      <c r="B587">
        <v>29</v>
      </c>
      <c r="C587" t="s">
        <v>761</v>
      </c>
      <c r="D587" t="s">
        <v>1488</v>
      </c>
    </row>
    <row r="588" spans="1:4" ht="14.25" hidden="1" customHeight="1">
      <c r="A588" t="s">
        <v>732</v>
      </c>
      <c r="B588">
        <v>30</v>
      </c>
      <c r="C588" t="s">
        <v>762</v>
      </c>
      <c r="D588" t="s">
        <v>1487</v>
      </c>
    </row>
    <row r="589" spans="1:4" ht="14.25" hidden="1" customHeight="1">
      <c r="A589" t="s">
        <v>732</v>
      </c>
      <c r="B589">
        <v>31</v>
      </c>
      <c r="C589" t="s">
        <v>763</v>
      </c>
      <c r="D589" t="s">
        <v>1488</v>
      </c>
    </row>
    <row r="590" spans="1:4" ht="14.25" hidden="1" customHeight="1">
      <c r="A590" t="s">
        <v>732</v>
      </c>
      <c r="B590">
        <v>32</v>
      </c>
      <c r="C590" t="s">
        <v>764</v>
      </c>
      <c r="D590" t="s">
        <v>1487</v>
      </c>
    </row>
    <row r="591" spans="1:4" ht="14.25" hidden="1" customHeight="1">
      <c r="A591" t="s">
        <v>732</v>
      </c>
      <c r="B591">
        <v>33</v>
      </c>
      <c r="C591" t="s">
        <v>765</v>
      </c>
      <c r="D591" t="s">
        <v>1488</v>
      </c>
    </row>
    <row r="592" spans="1:4" ht="14.25" hidden="1" customHeight="1">
      <c r="A592" t="s">
        <v>732</v>
      </c>
      <c r="B592">
        <v>34</v>
      </c>
      <c r="C592" t="s">
        <v>766</v>
      </c>
      <c r="D592" t="s">
        <v>1488</v>
      </c>
    </row>
    <row r="593" spans="1:4" ht="14.25" hidden="1" customHeight="1">
      <c r="A593" t="s">
        <v>732</v>
      </c>
      <c r="B593">
        <v>35</v>
      </c>
      <c r="C593" t="s">
        <v>767</v>
      </c>
      <c r="D593" t="s">
        <v>1487</v>
      </c>
    </row>
    <row r="594" spans="1:4" ht="14.25" hidden="1" customHeight="1">
      <c r="A594" t="s">
        <v>732</v>
      </c>
      <c r="B594">
        <v>36</v>
      </c>
      <c r="C594" t="s">
        <v>768</v>
      </c>
      <c r="D594" t="s">
        <v>1488</v>
      </c>
    </row>
    <row r="595" spans="1:4" ht="14.25" hidden="1" customHeight="1">
      <c r="A595" t="s">
        <v>732</v>
      </c>
      <c r="B595">
        <v>37</v>
      </c>
      <c r="C595" t="s">
        <v>769</v>
      </c>
      <c r="D595" t="s">
        <v>1487</v>
      </c>
    </row>
    <row r="596" spans="1:4" ht="14.25" hidden="1" customHeight="1">
      <c r="A596" t="s">
        <v>732</v>
      </c>
      <c r="B596">
        <v>38</v>
      </c>
      <c r="C596" t="s">
        <v>770</v>
      </c>
      <c r="D596" t="s">
        <v>1488</v>
      </c>
    </row>
    <row r="597" spans="1:4" ht="14.25" hidden="1" customHeight="1">
      <c r="A597" t="s">
        <v>732</v>
      </c>
      <c r="B597">
        <v>39</v>
      </c>
      <c r="C597" t="s">
        <v>771</v>
      </c>
      <c r="D597" t="s">
        <v>1487</v>
      </c>
    </row>
    <row r="598" spans="1:4" ht="14.25" hidden="1" customHeight="1">
      <c r="A598" t="s">
        <v>732</v>
      </c>
      <c r="B598">
        <v>40</v>
      </c>
      <c r="C598" t="s">
        <v>772</v>
      </c>
      <c r="D598" t="s">
        <v>1488</v>
      </c>
    </row>
    <row r="599" spans="1:4" ht="14.25" hidden="1" customHeight="1">
      <c r="A599" t="s">
        <v>732</v>
      </c>
      <c r="B599">
        <v>41</v>
      </c>
      <c r="C599" t="s">
        <v>773</v>
      </c>
      <c r="D599" t="s">
        <v>1488</v>
      </c>
    </row>
    <row r="600" spans="1:4" ht="14.25" hidden="1" customHeight="1">
      <c r="A600" t="s">
        <v>732</v>
      </c>
      <c r="B600">
        <v>42</v>
      </c>
      <c r="C600" t="s">
        <v>774</v>
      </c>
      <c r="D600" t="s">
        <v>1488</v>
      </c>
    </row>
    <row r="601" spans="1:4" ht="14.25" hidden="1" customHeight="1">
      <c r="A601" t="s">
        <v>732</v>
      </c>
      <c r="B601">
        <v>43</v>
      </c>
      <c r="C601" t="s">
        <v>775</v>
      </c>
      <c r="D601" t="s">
        <v>1488</v>
      </c>
    </row>
    <row r="602" spans="1:4" ht="14.25" hidden="1" customHeight="1">
      <c r="A602" t="s">
        <v>732</v>
      </c>
      <c r="B602">
        <v>44</v>
      </c>
      <c r="C602" t="s">
        <v>776</v>
      </c>
      <c r="D602" t="s">
        <v>1488</v>
      </c>
    </row>
    <row r="603" spans="1:4" ht="14.25" hidden="1" customHeight="1">
      <c r="A603" t="s">
        <v>732</v>
      </c>
      <c r="B603">
        <v>45</v>
      </c>
      <c r="C603" t="s">
        <v>777</v>
      </c>
      <c r="D603" t="s">
        <v>1488</v>
      </c>
    </row>
    <row r="604" spans="1:4" ht="14.25" hidden="1" customHeight="1">
      <c r="A604" t="s">
        <v>732</v>
      </c>
      <c r="B604">
        <v>46</v>
      </c>
      <c r="C604" t="s">
        <v>778</v>
      </c>
      <c r="D604" t="s">
        <v>1488</v>
      </c>
    </row>
    <row r="605" spans="1:4" ht="14.25" hidden="1" customHeight="1">
      <c r="A605" t="s">
        <v>732</v>
      </c>
      <c r="B605">
        <v>47</v>
      </c>
      <c r="C605" t="s">
        <v>779</v>
      </c>
      <c r="D605" t="s">
        <v>1487</v>
      </c>
    </row>
    <row r="606" spans="1:4" ht="14.25" hidden="1" customHeight="1">
      <c r="A606" t="s">
        <v>732</v>
      </c>
      <c r="B606">
        <v>48</v>
      </c>
      <c r="C606" t="s">
        <v>780</v>
      </c>
      <c r="D606" t="s">
        <v>1488</v>
      </c>
    </row>
    <row r="607" spans="1:4" ht="14.25" hidden="1" customHeight="1">
      <c r="A607" t="s">
        <v>732</v>
      </c>
      <c r="B607">
        <v>49</v>
      </c>
      <c r="C607" t="s">
        <v>781</v>
      </c>
      <c r="D607" t="s">
        <v>1487</v>
      </c>
    </row>
    <row r="608" spans="1:4" ht="14.25" hidden="1" customHeight="1">
      <c r="A608" t="s">
        <v>732</v>
      </c>
      <c r="B608">
        <v>50</v>
      </c>
      <c r="C608" t="s">
        <v>782</v>
      </c>
      <c r="D608" t="s">
        <v>1488</v>
      </c>
    </row>
    <row r="609" spans="1:4" ht="14.25" hidden="1" customHeight="1">
      <c r="A609" t="s">
        <v>732</v>
      </c>
      <c r="B609">
        <v>51</v>
      </c>
      <c r="C609" t="s">
        <v>783</v>
      </c>
      <c r="D609" t="s">
        <v>1487</v>
      </c>
    </row>
    <row r="610" spans="1:4" ht="14.25" hidden="1" customHeight="1">
      <c r="A610" t="s">
        <v>732</v>
      </c>
      <c r="B610">
        <v>52</v>
      </c>
      <c r="C610" t="s">
        <v>784</v>
      </c>
      <c r="D610" t="s">
        <v>1488</v>
      </c>
    </row>
    <row r="611" spans="1:4" ht="14.25" hidden="1" customHeight="1">
      <c r="A611" t="s">
        <v>732</v>
      </c>
      <c r="B611">
        <v>53</v>
      </c>
      <c r="C611" t="s">
        <v>785</v>
      </c>
      <c r="D611" t="s">
        <v>1488</v>
      </c>
    </row>
    <row r="612" spans="1:4" ht="14.25" hidden="1" customHeight="1">
      <c r="A612" t="s">
        <v>732</v>
      </c>
      <c r="B612">
        <v>54</v>
      </c>
      <c r="C612" t="s">
        <v>786</v>
      </c>
      <c r="D612" t="s">
        <v>1488</v>
      </c>
    </row>
    <row r="613" spans="1:4" ht="14.25" hidden="1" customHeight="1">
      <c r="A613" t="s">
        <v>732</v>
      </c>
      <c r="B613">
        <v>55</v>
      </c>
      <c r="C613" t="s">
        <v>787</v>
      </c>
      <c r="D613" t="s">
        <v>1488</v>
      </c>
    </row>
    <row r="614" spans="1:4" ht="14.25" hidden="1" customHeight="1">
      <c r="A614" t="s">
        <v>732</v>
      </c>
      <c r="B614">
        <v>56</v>
      </c>
      <c r="C614" t="s">
        <v>788</v>
      </c>
      <c r="D614" t="s">
        <v>1487</v>
      </c>
    </row>
    <row r="615" spans="1:4" ht="14.25" hidden="1" customHeight="1">
      <c r="A615" t="s">
        <v>732</v>
      </c>
      <c r="B615">
        <v>57</v>
      </c>
      <c r="C615" t="s">
        <v>789</v>
      </c>
      <c r="D615" t="s">
        <v>1488</v>
      </c>
    </row>
    <row r="616" spans="1:4" ht="14.25" hidden="1" customHeight="1">
      <c r="A616" t="s">
        <v>732</v>
      </c>
      <c r="B616">
        <v>58</v>
      </c>
      <c r="C616" t="s">
        <v>790</v>
      </c>
      <c r="D616" t="s">
        <v>1487</v>
      </c>
    </row>
    <row r="617" spans="1:4" ht="14.25" hidden="1" customHeight="1">
      <c r="A617" t="s">
        <v>732</v>
      </c>
      <c r="B617">
        <v>59</v>
      </c>
      <c r="C617" t="s">
        <v>791</v>
      </c>
      <c r="D617" t="s">
        <v>1488</v>
      </c>
    </row>
    <row r="618" spans="1:4" ht="14.25" hidden="1" customHeight="1">
      <c r="A618" t="s">
        <v>732</v>
      </c>
      <c r="B618">
        <v>60</v>
      </c>
      <c r="C618" t="s">
        <v>792</v>
      </c>
      <c r="D618" t="s">
        <v>1500</v>
      </c>
    </row>
    <row r="619" spans="1:4" ht="14.25" hidden="1" customHeight="1">
      <c r="A619" t="s">
        <v>732</v>
      </c>
      <c r="B619">
        <v>61</v>
      </c>
      <c r="C619" t="s">
        <v>793</v>
      </c>
      <c r="D619" t="s">
        <v>1488</v>
      </c>
    </row>
    <row r="620" spans="1:4" ht="14.25" hidden="1" customHeight="1">
      <c r="A620" t="s">
        <v>732</v>
      </c>
      <c r="B620">
        <v>62</v>
      </c>
      <c r="C620" t="s">
        <v>794</v>
      </c>
      <c r="D620" t="s">
        <v>1488</v>
      </c>
    </row>
    <row r="621" spans="1:4" ht="14.25" hidden="1" customHeight="1">
      <c r="A621" t="s">
        <v>732</v>
      </c>
      <c r="B621">
        <v>63</v>
      </c>
      <c r="C621" t="s">
        <v>795</v>
      </c>
      <c r="D621" t="s">
        <v>1488</v>
      </c>
    </row>
    <row r="622" spans="1:4" ht="14.25" hidden="1" customHeight="1">
      <c r="A622" t="s">
        <v>732</v>
      </c>
      <c r="B622">
        <v>64</v>
      </c>
      <c r="C622" t="s">
        <v>796</v>
      </c>
      <c r="D622" t="s">
        <v>1488</v>
      </c>
    </row>
    <row r="623" spans="1:4" ht="14.25" hidden="1" customHeight="1">
      <c r="A623" t="s">
        <v>732</v>
      </c>
      <c r="B623">
        <v>65</v>
      </c>
      <c r="C623" t="s">
        <v>797</v>
      </c>
      <c r="D623" t="s">
        <v>1488</v>
      </c>
    </row>
    <row r="624" spans="1:4" ht="14.25" hidden="1" customHeight="1">
      <c r="A624" t="s">
        <v>732</v>
      </c>
      <c r="B624">
        <v>66</v>
      </c>
      <c r="C624" t="s">
        <v>798</v>
      </c>
      <c r="D624" t="s">
        <v>1488</v>
      </c>
    </row>
    <row r="625" spans="1:4" ht="14.25" hidden="1" customHeight="1">
      <c r="A625" t="s">
        <v>732</v>
      </c>
      <c r="B625">
        <v>67</v>
      </c>
      <c r="C625" t="s">
        <v>799</v>
      </c>
      <c r="D625" t="s">
        <v>1487</v>
      </c>
    </row>
    <row r="626" spans="1:4" ht="14.25" hidden="1" customHeight="1">
      <c r="A626" t="s">
        <v>732</v>
      </c>
      <c r="B626">
        <v>68</v>
      </c>
      <c r="C626" t="s">
        <v>800</v>
      </c>
      <c r="D626" t="s">
        <v>1488</v>
      </c>
    </row>
    <row r="627" spans="1:4" ht="14.25" hidden="1" customHeight="1">
      <c r="A627" t="s">
        <v>732</v>
      </c>
      <c r="B627">
        <v>69</v>
      </c>
      <c r="C627" t="s">
        <v>801</v>
      </c>
      <c r="D627" t="s">
        <v>1487</v>
      </c>
    </row>
    <row r="628" spans="1:4" ht="14.25" hidden="1" customHeight="1">
      <c r="A628" t="s">
        <v>732</v>
      </c>
      <c r="B628">
        <v>70</v>
      </c>
      <c r="C628" t="s">
        <v>802</v>
      </c>
      <c r="D628" t="s">
        <v>1487</v>
      </c>
    </row>
    <row r="629" spans="1:4" ht="14.25" hidden="1" customHeight="1">
      <c r="A629" t="s">
        <v>732</v>
      </c>
      <c r="B629">
        <v>71</v>
      </c>
      <c r="C629" t="s">
        <v>803</v>
      </c>
      <c r="D629" s="1" t="s">
        <v>1488</v>
      </c>
    </row>
    <row r="630" spans="1:4" ht="14.25" hidden="1" customHeight="1">
      <c r="A630" t="s">
        <v>732</v>
      </c>
      <c r="B630">
        <v>72</v>
      </c>
      <c r="C630" t="s">
        <v>804</v>
      </c>
      <c r="D630" t="s">
        <v>1488</v>
      </c>
    </row>
    <row r="631" spans="1:4" ht="14.25" hidden="1" customHeight="1">
      <c r="A631" t="s">
        <v>732</v>
      </c>
      <c r="B631">
        <v>73</v>
      </c>
      <c r="C631" t="s">
        <v>805</v>
      </c>
      <c r="D631" t="s">
        <v>1487</v>
      </c>
    </row>
    <row r="632" spans="1:4" ht="14.25" hidden="1" customHeight="1">
      <c r="A632" t="s">
        <v>732</v>
      </c>
      <c r="B632">
        <v>74</v>
      </c>
      <c r="C632" t="s">
        <v>806</v>
      </c>
      <c r="D632" t="s">
        <v>1488</v>
      </c>
    </row>
    <row r="633" spans="1:4" ht="14.25" hidden="1" customHeight="1">
      <c r="A633" t="s">
        <v>732</v>
      </c>
      <c r="B633">
        <v>75</v>
      </c>
      <c r="C633" t="s">
        <v>807</v>
      </c>
      <c r="D633" t="s">
        <v>1488</v>
      </c>
    </row>
    <row r="634" spans="1:4" ht="14.25" hidden="1" customHeight="1">
      <c r="A634" t="s">
        <v>732</v>
      </c>
      <c r="B634">
        <v>76</v>
      </c>
      <c r="C634" t="s">
        <v>808</v>
      </c>
      <c r="D634" t="s">
        <v>1487</v>
      </c>
    </row>
    <row r="635" spans="1:4" ht="14.25" hidden="1" customHeight="1">
      <c r="A635" t="s">
        <v>732</v>
      </c>
      <c r="B635">
        <v>77</v>
      </c>
      <c r="C635" t="s">
        <v>809</v>
      </c>
      <c r="D635" t="s">
        <v>1488</v>
      </c>
    </row>
    <row r="636" spans="1:4" ht="14.25" hidden="1" customHeight="1">
      <c r="A636" t="s">
        <v>732</v>
      </c>
      <c r="B636">
        <v>78</v>
      </c>
      <c r="C636" t="s">
        <v>810</v>
      </c>
      <c r="D636" t="s">
        <v>1488</v>
      </c>
    </row>
    <row r="637" spans="1:4" ht="14.25" hidden="1" customHeight="1">
      <c r="A637" t="s">
        <v>732</v>
      </c>
      <c r="B637">
        <v>79</v>
      </c>
      <c r="C637" t="s">
        <v>811</v>
      </c>
      <c r="D637" t="s">
        <v>1488</v>
      </c>
    </row>
    <row r="638" spans="1:4" ht="14.25" hidden="1" customHeight="1">
      <c r="A638" t="s">
        <v>732</v>
      </c>
      <c r="B638">
        <v>80</v>
      </c>
      <c r="C638" t="s">
        <v>812</v>
      </c>
      <c r="D638" t="s">
        <v>1488</v>
      </c>
    </row>
    <row r="639" spans="1:4" ht="14.25" hidden="1" customHeight="1">
      <c r="A639" t="s">
        <v>732</v>
      </c>
      <c r="B639">
        <v>81</v>
      </c>
      <c r="C639" t="s">
        <v>813</v>
      </c>
      <c r="D639" t="s">
        <v>1488</v>
      </c>
    </row>
    <row r="640" spans="1:4" ht="14.25" hidden="1" customHeight="1">
      <c r="A640" t="s">
        <v>732</v>
      </c>
      <c r="B640">
        <v>82</v>
      </c>
      <c r="C640" t="s">
        <v>814</v>
      </c>
      <c r="D640" t="s">
        <v>1488</v>
      </c>
    </row>
    <row r="641" spans="1:4" ht="14.25" hidden="1" customHeight="1">
      <c r="A641" t="s">
        <v>732</v>
      </c>
      <c r="B641">
        <v>83</v>
      </c>
      <c r="C641" t="s">
        <v>815</v>
      </c>
      <c r="D641" t="s">
        <v>1488</v>
      </c>
    </row>
    <row r="642" spans="1:4" ht="14.25" hidden="1" customHeight="1">
      <c r="A642" t="s">
        <v>732</v>
      </c>
      <c r="B642">
        <v>84</v>
      </c>
      <c r="C642" t="s">
        <v>816</v>
      </c>
      <c r="D642" t="s">
        <v>1488</v>
      </c>
    </row>
    <row r="643" spans="1:4" ht="14.25" hidden="1" customHeight="1">
      <c r="A643" t="s">
        <v>732</v>
      </c>
      <c r="B643">
        <v>85</v>
      </c>
      <c r="C643" t="s">
        <v>817</v>
      </c>
      <c r="D643" t="s">
        <v>1488</v>
      </c>
    </row>
    <row r="644" spans="1:4" ht="14.25" hidden="1" customHeight="1">
      <c r="A644" t="s">
        <v>732</v>
      </c>
      <c r="B644">
        <v>86</v>
      </c>
      <c r="C644" t="s">
        <v>818</v>
      </c>
      <c r="D644" t="s">
        <v>1488</v>
      </c>
    </row>
    <row r="645" spans="1:4" ht="14.25" hidden="1" customHeight="1">
      <c r="A645" t="s">
        <v>732</v>
      </c>
      <c r="B645">
        <v>87</v>
      </c>
      <c r="C645" t="s">
        <v>819</v>
      </c>
      <c r="D645" t="s">
        <v>1488</v>
      </c>
    </row>
    <row r="646" spans="1:4" ht="14.25" hidden="1" customHeight="1">
      <c r="A646" t="s">
        <v>732</v>
      </c>
      <c r="B646">
        <v>88</v>
      </c>
      <c r="C646" t="s">
        <v>820</v>
      </c>
      <c r="D646" t="s">
        <v>1488</v>
      </c>
    </row>
    <row r="647" spans="1:4" ht="14.25" hidden="1" customHeight="1">
      <c r="A647" t="s">
        <v>732</v>
      </c>
      <c r="B647">
        <v>89</v>
      </c>
      <c r="C647" t="s">
        <v>821</v>
      </c>
      <c r="D647" t="s">
        <v>1488</v>
      </c>
    </row>
    <row r="648" spans="1:4" ht="14.25" hidden="1" customHeight="1">
      <c r="A648" t="s">
        <v>732</v>
      </c>
      <c r="B648">
        <v>90</v>
      </c>
      <c r="C648" t="s">
        <v>822</v>
      </c>
      <c r="D648" t="s">
        <v>1488</v>
      </c>
    </row>
    <row r="649" spans="1:4" ht="14.25" hidden="1" customHeight="1">
      <c r="A649" t="s">
        <v>732</v>
      </c>
      <c r="B649">
        <v>91</v>
      </c>
      <c r="C649" t="s">
        <v>823</v>
      </c>
      <c r="D649" t="s">
        <v>1488</v>
      </c>
    </row>
    <row r="650" spans="1:4" ht="14.25" hidden="1" customHeight="1">
      <c r="A650" t="s">
        <v>732</v>
      </c>
      <c r="B650">
        <v>92</v>
      </c>
      <c r="C650" t="s">
        <v>824</v>
      </c>
      <c r="D650" t="s">
        <v>1500</v>
      </c>
    </row>
    <row r="651" spans="1:4" ht="14.25" hidden="1" customHeight="1">
      <c r="A651" t="s">
        <v>732</v>
      </c>
      <c r="B651">
        <v>93</v>
      </c>
      <c r="C651" t="s">
        <v>825</v>
      </c>
      <c r="D651" t="s">
        <v>1487</v>
      </c>
    </row>
    <row r="652" spans="1:4" ht="14.25" hidden="1" customHeight="1">
      <c r="A652" t="s">
        <v>732</v>
      </c>
      <c r="B652">
        <v>94</v>
      </c>
      <c r="C652" t="s">
        <v>826</v>
      </c>
      <c r="D652" t="s">
        <v>1488</v>
      </c>
    </row>
    <row r="653" spans="1:4" ht="14.25" hidden="1" customHeight="1">
      <c r="A653" t="s">
        <v>732</v>
      </c>
      <c r="B653">
        <v>95</v>
      </c>
      <c r="C653" t="s">
        <v>827</v>
      </c>
      <c r="D653" t="s">
        <v>1488</v>
      </c>
    </row>
    <row r="654" spans="1:4" ht="14.25" hidden="1" customHeight="1">
      <c r="A654" t="s">
        <v>732</v>
      </c>
      <c r="B654">
        <v>96</v>
      </c>
      <c r="C654" t="s">
        <v>828</v>
      </c>
      <c r="D654" t="s">
        <v>1487</v>
      </c>
    </row>
    <row r="655" spans="1:4" ht="14.25" hidden="1" customHeight="1">
      <c r="A655" t="s">
        <v>732</v>
      </c>
      <c r="B655">
        <v>97</v>
      </c>
      <c r="C655" t="s">
        <v>829</v>
      </c>
      <c r="D655" t="s">
        <v>1488</v>
      </c>
    </row>
    <row r="656" spans="1:4" ht="14.25" hidden="1" customHeight="1">
      <c r="A656" t="s">
        <v>732</v>
      </c>
      <c r="B656">
        <v>98</v>
      </c>
      <c r="C656" t="s">
        <v>830</v>
      </c>
      <c r="D656" t="s">
        <v>1488</v>
      </c>
    </row>
    <row r="657" spans="1:4" ht="14.25" hidden="1" customHeight="1">
      <c r="A657" t="s">
        <v>732</v>
      </c>
      <c r="B657">
        <v>99</v>
      </c>
      <c r="C657" t="s">
        <v>831</v>
      </c>
      <c r="D657" t="s">
        <v>1487</v>
      </c>
    </row>
    <row r="658" spans="1:4" ht="14.25" hidden="1" customHeight="1">
      <c r="A658" t="s">
        <v>732</v>
      </c>
      <c r="B658">
        <v>100</v>
      </c>
      <c r="C658" t="s">
        <v>832</v>
      </c>
      <c r="D658" t="s">
        <v>1488</v>
      </c>
    </row>
    <row r="659" spans="1:4" ht="14.25" hidden="1" customHeight="1">
      <c r="A659" t="s">
        <v>732</v>
      </c>
      <c r="B659">
        <v>101</v>
      </c>
      <c r="C659" t="s">
        <v>833</v>
      </c>
      <c r="D659" t="s">
        <v>1487</v>
      </c>
    </row>
    <row r="660" spans="1:4" ht="14.25" hidden="1" customHeight="1">
      <c r="A660" t="s">
        <v>732</v>
      </c>
      <c r="B660">
        <v>102</v>
      </c>
      <c r="C660" t="s">
        <v>834</v>
      </c>
      <c r="D660" t="s">
        <v>1487</v>
      </c>
    </row>
    <row r="661" spans="1:4" ht="14.25" hidden="1" customHeight="1">
      <c r="A661" t="s">
        <v>732</v>
      </c>
      <c r="B661">
        <v>103</v>
      </c>
      <c r="C661" t="s">
        <v>835</v>
      </c>
      <c r="D661" t="s">
        <v>1487</v>
      </c>
    </row>
    <row r="662" spans="1:4" ht="14.25" hidden="1" customHeight="1">
      <c r="A662" t="s">
        <v>732</v>
      </c>
      <c r="B662">
        <v>104</v>
      </c>
      <c r="C662" t="s">
        <v>836</v>
      </c>
      <c r="D662" t="s">
        <v>1487</v>
      </c>
    </row>
    <row r="663" spans="1:4" ht="14.25" hidden="1" customHeight="1">
      <c r="A663" t="s">
        <v>732</v>
      </c>
      <c r="B663">
        <v>105</v>
      </c>
      <c r="C663" t="s">
        <v>837</v>
      </c>
      <c r="D663" t="s">
        <v>1488</v>
      </c>
    </row>
    <row r="664" spans="1:4" ht="14.25" hidden="1" customHeight="1">
      <c r="A664" t="s">
        <v>732</v>
      </c>
      <c r="B664">
        <v>106</v>
      </c>
      <c r="C664" t="s">
        <v>838</v>
      </c>
      <c r="D664" t="s">
        <v>1487</v>
      </c>
    </row>
    <row r="665" spans="1:4" ht="14.25" hidden="1" customHeight="1">
      <c r="A665" t="s">
        <v>732</v>
      </c>
      <c r="B665">
        <v>107</v>
      </c>
      <c r="C665" t="s">
        <v>839</v>
      </c>
      <c r="D665" t="s">
        <v>1488</v>
      </c>
    </row>
    <row r="666" spans="1:4" ht="14.25" hidden="1" customHeight="1">
      <c r="A666" t="s">
        <v>732</v>
      </c>
      <c r="B666">
        <v>108</v>
      </c>
      <c r="C666" t="s">
        <v>840</v>
      </c>
      <c r="D666" t="s">
        <v>1488</v>
      </c>
    </row>
    <row r="667" spans="1:4" ht="14.25" hidden="1" customHeight="1">
      <c r="A667" t="s">
        <v>732</v>
      </c>
      <c r="B667">
        <v>109</v>
      </c>
      <c r="C667" t="s">
        <v>841</v>
      </c>
      <c r="D667" t="s">
        <v>1487</v>
      </c>
    </row>
    <row r="668" spans="1:4" ht="14.25" hidden="1" customHeight="1">
      <c r="A668" t="s">
        <v>732</v>
      </c>
      <c r="B668">
        <v>110</v>
      </c>
      <c r="C668" t="s">
        <v>842</v>
      </c>
      <c r="D668" t="s">
        <v>1488</v>
      </c>
    </row>
    <row r="669" spans="1:4" ht="14.25" hidden="1" customHeight="1">
      <c r="A669" t="s">
        <v>732</v>
      </c>
      <c r="B669">
        <v>111</v>
      </c>
      <c r="C669" t="s">
        <v>843</v>
      </c>
      <c r="D669" t="s">
        <v>1487</v>
      </c>
    </row>
    <row r="670" spans="1:4" ht="14.25" hidden="1" customHeight="1">
      <c r="A670" t="s">
        <v>732</v>
      </c>
      <c r="B670">
        <v>112</v>
      </c>
      <c r="C670" t="s">
        <v>844</v>
      </c>
      <c r="D670" t="s">
        <v>1488</v>
      </c>
    </row>
    <row r="671" spans="1:4" ht="14.25" hidden="1" customHeight="1">
      <c r="A671" t="s">
        <v>732</v>
      </c>
      <c r="B671">
        <v>113</v>
      </c>
      <c r="C671" t="s">
        <v>845</v>
      </c>
      <c r="D671" t="s">
        <v>1487</v>
      </c>
    </row>
    <row r="672" spans="1:4" ht="14.25" hidden="1" customHeight="1">
      <c r="A672" t="s">
        <v>732</v>
      </c>
      <c r="B672">
        <v>114</v>
      </c>
      <c r="C672" t="s">
        <v>846</v>
      </c>
      <c r="D672" t="s">
        <v>1487</v>
      </c>
    </row>
    <row r="673" spans="1:4" ht="14.25" hidden="1" customHeight="1">
      <c r="A673" t="s">
        <v>732</v>
      </c>
      <c r="B673">
        <v>115</v>
      </c>
      <c r="C673" t="s">
        <v>847</v>
      </c>
      <c r="D673" t="s">
        <v>1488</v>
      </c>
    </row>
    <row r="674" spans="1:4" ht="14.25" hidden="1" customHeight="1">
      <c r="A674" t="s">
        <v>732</v>
      </c>
      <c r="B674">
        <v>116</v>
      </c>
      <c r="C674" t="s">
        <v>848</v>
      </c>
      <c r="D674" t="s">
        <v>1488</v>
      </c>
    </row>
    <row r="675" spans="1:4" ht="14.25" hidden="1" customHeight="1">
      <c r="A675" t="s">
        <v>849</v>
      </c>
      <c r="B675">
        <v>1</v>
      </c>
      <c r="C675" t="s">
        <v>850</v>
      </c>
      <c r="D675" t="s">
        <v>1487</v>
      </c>
    </row>
    <row r="676" spans="1:4" ht="14.25" hidden="1" customHeight="1">
      <c r="A676" t="s">
        <v>849</v>
      </c>
      <c r="B676">
        <v>2</v>
      </c>
      <c r="C676" t="s">
        <v>851</v>
      </c>
      <c r="D676" t="s">
        <v>1488</v>
      </c>
    </row>
    <row r="677" spans="1:4" ht="14.25" hidden="1" customHeight="1">
      <c r="A677" t="s">
        <v>849</v>
      </c>
      <c r="B677">
        <v>3</v>
      </c>
      <c r="C677" t="s">
        <v>852</v>
      </c>
      <c r="D677" t="s">
        <v>1487</v>
      </c>
    </row>
    <row r="678" spans="1:4" ht="14.25" hidden="1" customHeight="1">
      <c r="A678" t="s">
        <v>849</v>
      </c>
      <c r="B678">
        <v>4</v>
      </c>
      <c r="C678" t="s">
        <v>853</v>
      </c>
      <c r="D678" t="s">
        <v>1488</v>
      </c>
    </row>
    <row r="679" spans="1:4" ht="14.25" hidden="1" customHeight="1">
      <c r="A679" t="s">
        <v>849</v>
      </c>
      <c r="B679">
        <v>5</v>
      </c>
      <c r="C679" t="s">
        <v>854</v>
      </c>
      <c r="D679" t="s">
        <v>1488</v>
      </c>
    </row>
    <row r="680" spans="1:4" ht="14.25" hidden="1" customHeight="1">
      <c r="A680" t="s">
        <v>849</v>
      </c>
      <c r="B680">
        <v>6</v>
      </c>
      <c r="C680" t="s">
        <v>855</v>
      </c>
      <c r="D680" t="s">
        <v>1487</v>
      </c>
    </row>
    <row r="681" spans="1:4" ht="14.25" hidden="1" customHeight="1">
      <c r="A681" t="s">
        <v>849</v>
      </c>
      <c r="B681">
        <v>7</v>
      </c>
      <c r="C681" t="s">
        <v>856</v>
      </c>
      <c r="D681" t="s">
        <v>1488</v>
      </c>
    </row>
    <row r="682" spans="1:4" ht="14.25" hidden="1" customHeight="1">
      <c r="A682" t="s">
        <v>849</v>
      </c>
      <c r="B682">
        <v>8</v>
      </c>
      <c r="C682" t="s">
        <v>857</v>
      </c>
      <c r="D682" t="s">
        <v>1488</v>
      </c>
    </row>
    <row r="683" spans="1:4" ht="14.25" hidden="1" customHeight="1">
      <c r="A683" t="s">
        <v>849</v>
      </c>
      <c r="B683">
        <v>9</v>
      </c>
      <c r="C683" t="s">
        <v>858</v>
      </c>
      <c r="D683" t="s">
        <v>1487</v>
      </c>
    </row>
    <row r="684" spans="1:4" ht="14.25" hidden="1" customHeight="1">
      <c r="A684" t="s">
        <v>849</v>
      </c>
      <c r="B684">
        <v>10</v>
      </c>
      <c r="C684" t="s">
        <v>859</v>
      </c>
      <c r="D684" t="s">
        <v>1488</v>
      </c>
    </row>
    <row r="685" spans="1:4" ht="14.25" hidden="1" customHeight="1">
      <c r="A685" t="s">
        <v>849</v>
      </c>
      <c r="B685">
        <v>11</v>
      </c>
      <c r="C685" t="s">
        <v>860</v>
      </c>
      <c r="D685" t="s">
        <v>1487</v>
      </c>
    </row>
    <row r="686" spans="1:4" ht="14.25" hidden="1" customHeight="1">
      <c r="A686" t="s">
        <v>849</v>
      </c>
      <c r="B686">
        <v>12</v>
      </c>
      <c r="C686" t="s">
        <v>861</v>
      </c>
      <c r="D686" t="s">
        <v>1488</v>
      </c>
    </row>
    <row r="687" spans="1:4" ht="14.25" hidden="1" customHeight="1">
      <c r="A687" t="s">
        <v>849</v>
      </c>
      <c r="B687">
        <v>13</v>
      </c>
      <c r="C687" t="s">
        <v>862</v>
      </c>
      <c r="D687" t="s">
        <v>1488</v>
      </c>
    </row>
    <row r="688" spans="1:4" ht="14.25" hidden="1" customHeight="1">
      <c r="A688" t="s">
        <v>849</v>
      </c>
      <c r="B688">
        <v>14</v>
      </c>
      <c r="C688" t="s">
        <v>863</v>
      </c>
      <c r="D688" t="s">
        <v>1487</v>
      </c>
    </row>
    <row r="689" spans="1:4" ht="14.25" hidden="1" customHeight="1">
      <c r="A689" t="s">
        <v>849</v>
      </c>
      <c r="B689">
        <v>15</v>
      </c>
      <c r="C689" t="s">
        <v>864</v>
      </c>
      <c r="D689" t="s">
        <v>1488</v>
      </c>
    </row>
    <row r="690" spans="1:4" ht="14.25" hidden="1" customHeight="1">
      <c r="A690" t="s">
        <v>849</v>
      </c>
      <c r="B690">
        <v>16</v>
      </c>
      <c r="C690" t="s">
        <v>865</v>
      </c>
      <c r="D690" t="s">
        <v>1488</v>
      </c>
    </row>
    <row r="691" spans="1:4" ht="14.25" hidden="1" customHeight="1">
      <c r="A691" t="s">
        <v>849</v>
      </c>
      <c r="B691">
        <v>17</v>
      </c>
      <c r="C691" t="s">
        <v>866</v>
      </c>
      <c r="D691" t="s">
        <v>1488</v>
      </c>
    </row>
    <row r="692" spans="1:4" ht="14.25" hidden="1" customHeight="1">
      <c r="A692" t="s">
        <v>849</v>
      </c>
      <c r="B692">
        <v>18</v>
      </c>
      <c r="C692" t="s">
        <v>867</v>
      </c>
      <c r="D692" t="s">
        <v>1487</v>
      </c>
    </row>
    <row r="693" spans="1:4" ht="14.25" hidden="1" customHeight="1">
      <c r="A693" t="s">
        <v>849</v>
      </c>
      <c r="B693">
        <v>19</v>
      </c>
      <c r="C693" t="s">
        <v>868</v>
      </c>
      <c r="D693" t="s">
        <v>1487</v>
      </c>
    </row>
    <row r="694" spans="1:4" ht="14.25" hidden="1" customHeight="1">
      <c r="A694" t="s">
        <v>849</v>
      </c>
      <c r="B694">
        <v>20</v>
      </c>
      <c r="C694" t="s">
        <v>869</v>
      </c>
      <c r="D694" t="s">
        <v>1488</v>
      </c>
    </row>
    <row r="695" spans="1:4" ht="14.25" hidden="1" customHeight="1">
      <c r="A695" t="s">
        <v>849</v>
      </c>
      <c r="B695">
        <v>21</v>
      </c>
      <c r="C695" t="s">
        <v>870</v>
      </c>
      <c r="D695" t="s">
        <v>1487</v>
      </c>
    </row>
    <row r="696" spans="1:4" ht="14.25" hidden="1" customHeight="1">
      <c r="A696" t="s">
        <v>849</v>
      </c>
      <c r="B696">
        <v>22</v>
      </c>
      <c r="C696" t="s">
        <v>871</v>
      </c>
      <c r="D696" t="s">
        <v>1488</v>
      </c>
    </row>
    <row r="697" spans="1:4" ht="14.25" hidden="1" customHeight="1">
      <c r="A697" t="s">
        <v>849</v>
      </c>
      <c r="B697">
        <v>23</v>
      </c>
      <c r="C697" t="s">
        <v>872</v>
      </c>
      <c r="D697" t="s">
        <v>1488</v>
      </c>
    </row>
    <row r="698" spans="1:4" ht="14.25" hidden="1" customHeight="1">
      <c r="A698" t="s">
        <v>849</v>
      </c>
      <c r="B698">
        <v>24</v>
      </c>
      <c r="C698" t="s">
        <v>873</v>
      </c>
      <c r="D698" t="s">
        <v>1488</v>
      </c>
    </row>
    <row r="699" spans="1:4" ht="14.25" hidden="1" customHeight="1">
      <c r="A699" t="s">
        <v>849</v>
      </c>
      <c r="B699">
        <v>25</v>
      </c>
      <c r="C699" t="s">
        <v>874</v>
      </c>
      <c r="D699" t="s">
        <v>1487</v>
      </c>
    </row>
    <row r="700" spans="1:4" ht="14.25" hidden="1" customHeight="1">
      <c r="A700" t="s">
        <v>849</v>
      </c>
      <c r="B700">
        <v>26</v>
      </c>
      <c r="C700" t="s">
        <v>875</v>
      </c>
      <c r="D700" t="s">
        <v>1487</v>
      </c>
    </row>
    <row r="701" spans="1:4" ht="14.25" hidden="1" customHeight="1">
      <c r="A701" t="s">
        <v>849</v>
      </c>
      <c r="B701">
        <v>27</v>
      </c>
      <c r="C701" t="s">
        <v>876</v>
      </c>
      <c r="D701" t="s">
        <v>1488</v>
      </c>
    </row>
    <row r="702" spans="1:4" ht="14.25" hidden="1" customHeight="1">
      <c r="A702" t="s">
        <v>849</v>
      </c>
      <c r="B702">
        <v>28</v>
      </c>
      <c r="C702" t="s">
        <v>877</v>
      </c>
      <c r="D702" t="s">
        <v>1487</v>
      </c>
    </row>
    <row r="703" spans="1:4" ht="14.25" hidden="1" customHeight="1">
      <c r="A703" t="s">
        <v>849</v>
      </c>
      <c r="B703">
        <v>29</v>
      </c>
      <c r="C703" t="s">
        <v>878</v>
      </c>
      <c r="D703" t="s">
        <v>1487</v>
      </c>
    </row>
    <row r="704" spans="1:4" ht="14.25" hidden="1" customHeight="1">
      <c r="A704" t="s">
        <v>849</v>
      </c>
      <c r="B704">
        <v>30</v>
      </c>
      <c r="C704" t="s">
        <v>879</v>
      </c>
      <c r="D704" t="s">
        <v>1488</v>
      </c>
    </row>
    <row r="705" spans="1:4" ht="14.25" hidden="1" customHeight="1">
      <c r="A705" t="s">
        <v>849</v>
      </c>
      <c r="B705">
        <v>31</v>
      </c>
      <c r="C705" t="s">
        <v>880</v>
      </c>
      <c r="D705" t="s">
        <v>1488</v>
      </c>
    </row>
    <row r="706" spans="1:4" ht="14.25" hidden="1" customHeight="1">
      <c r="A706" t="s">
        <v>849</v>
      </c>
      <c r="B706">
        <v>32</v>
      </c>
      <c r="C706" t="s">
        <v>881</v>
      </c>
      <c r="D706" t="s">
        <v>1488</v>
      </c>
    </row>
    <row r="707" spans="1:4" ht="14.25" hidden="1" customHeight="1">
      <c r="A707" t="s">
        <v>849</v>
      </c>
      <c r="B707">
        <v>33</v>
      </c>
      <c r="C707" t="s">
        <v>882</v>
      </c>
      <c r="D707" t="s">
        <v>1488</v>
      </c>
    </row>
    <row r="708" spans="1:4" ht="14.25" hidden="1" customHeight="1">
      <c r="A708" t="s">
        <v>849</v>
      </c>
      <c r="B708">
        <v>34</v>
      </c>
      <c r="C708" t="s">
        <v>883</v>
      </c>
      <c r="D708" t="s">
        <v>1488</v>
      </c>
    </row>
    <row r="709" spans="1:4" ht="14.25" hidden="1" customHeight="1">
      <c r="A709" t="s">
        <v>849</v>
      </c>
      <c r="B709">
        <v>35</v>
      </c>
      <c r="C709" t="s">
        <v>884</v>
      </c>
      <c r="D709" t="s">
        <v>1488</v>
      </c>
    </row>
    <row r="710" spans="1:4" ht="14.25" hidden="1" customHeight="1">
      <c r="A710" t="s">
        <v>849</v>
      </c>
      <c r="B710">
        <v>36</v>
      </c>
      <c r="C710" t="s">
        <v>885</v>
      </c>
      <c r="D710" t="s">
        <v>1488</v>
      </c>
    </row>
    <row r="711" spans="1:4" ht="14.25" hidden="1" customHeight="1">
      <c r="A711" t="s">
        <v>849</v>
      </c>
      <c r="B711">
        <v>37</v>
      </c>
      <c r="C711" t="s">
        <v>886</v>
      </c>
      <c r="D711" t="s">
        <v>1487</v>
      </c>
    </row>
    <row r="712" spans="1:4" ht="14.25" hidden="1" customHeight="1">
      <c r="A712" t="s">
        <v>849</v>
      </c>
      <c r="B712">
        <v>38</v>
      </c>
      <c r="C712" t="s">
        <v>887</v>
      </c>
      <c r="D712" t="s">
        <v>1487</v>
      </c>
    </row>
    <row r="713" spans="1:4" ht="14.25" hidden="1" customHeight="1">
      <c r="A713" t="s">
        <v>849</v>
      </c>
      <c r="B713">
        <v>39</v>
      </c>
      <c r="C713" t="s">
        <v>888</v>
      </c>
      <c r="D713" t="s">
        <v>1500</v>
      </c>
    </row>
    <row r="714" spans="1:4" ht="14.25" hidden="1" customHeight="1">
      <c r="A714" t="s">
        <v>849</v>
      </c>
      <c r="B714">
        <v>40</v>
      </c>
      <c r="C714" t="s">
        <v>889</v>
      </c>
      <c r="D714" t="s">
        <v>1488</v>
      </c>
    </row>
    <row r="715" spans="1:4" ht="14.25" hidden="1" customHeight="1">
      <c r="A715" t="s">
        <v>849</v>
      </c>
      <c r="B715">
        <v>41</v>
      </c>
      <c r="C715" t="s">
        <v>890</v>
      </c>
      <c r="D715" t="s">
        <v>1487</v>
      </c>
    </row>
    <row r="716" spans="1:4" ht="14.25" hidden="1" customHeight="1">
      <c r="A716" t="s">
        <v>849</v>
      </c>
      <c r="B716">
        <v>42</v>
      </c>
      <c r="C716" t="s">
        <v>891</v>
      </c>
      <c r="D716" t="s">
        <v>1488</v>
      </c>
    </row>
    <row r="717" spans="1:4" ht="14.25" hidden="1" customHeight="1">
      <c r="A717" t="s">
        <v>849</v>
      </c>
      <c r="B717">
        <v>43</v>
      </c>
      <c r="C717" t="s">
        <v>892</v>
      </c>
      <c r="D717" t="s">
        <v>1488</v>
      </c>
    </row>
    <row r="718" spans="1:4" ht="14.25" hidden="1" customHeight="1">
      <c r="A718" t="s">
        <v>849</v>
      </c>
      <c r="B718">
        <v>44</v>
      </c>
      <c r="C718" t="s">
        <v>893</v>
      </c>
      <c r="D718" t="s">
        <v>1488</v>
      </c>
    </row>
    <row r="719" spans="1:4" ht="14.25" hidden="1" customHeight="1">
      <c r="A719" t="s">
        <v>849</v>
      </c>
      <c r="B719">
        <v>45</v>
      </c>
      <c r="C719" t="s">
        <v>894</v>
      </c>
      <c r="D719" t="s">
        <v>1487</v>
      </c>
    </row>
    <row r="720" spans="1:4" ht="14.25" hidden="1" customHeight="1">
      <c r="A720" t="s">
        <v>849</v>
      </c>
      <c r="B720">
        <v>46</v>
      </c>
      <c r="C720" t="s">
        <v>895</v>
      </c>
      <c r="D720" t="s">
        <v>1487</v>
      </c>
    </row>
    <row r="721" spans="1:4" ht="14.25" hidden="1" customHeight="1">
      <c r="A721" t="s">
        <v>849</v>
      </c>
      <c r="B721">
        <v>47</v>
      </c>
      <c r="C721" t="s">
        <v>896</v>
      </c>
      <c r="D721" t="s">
        <v>1488</v>
      </c>
    </row>
    <row r="722" spans="1:4" ht="14.25" hidden="1" customHeight="1">
      <c r="A722" t="s">
        <v>849</v>
      </c>
      <c r="B722">
        <v>48</v>
      </c>
      <c r="C722" t="s">
        <v>897</v>
      </c>
      <c r="D722" t="s">
        <v>1488</v>
      </c>
    </row>
    <row r="723" spans="1:4" ht="14.25" hidden="1" customHeight="1">
      <c r="A723" t="s">
        <v>849</v>
      </c>
      <c r="B723">
        <v>49</v>
      </c>
      <c r="C723" t="s">
        <v>898</v>
      </c>
      <c r="D723" t="s">
        <v>1487</v>
      </c>
    </row>
    <row r="724" spans="1:4" ht="14.25" hidden="1" customHeight="1">
      <c r="A724" t="s">
        <v>849</v>
      </c>
      <c r="B724">
        <v>50</v>
      </c>
      <c r="C724" t="s">
        <v>899</v>
      </c>
      <c r="D724" t="s">
        <v>1488</v>
      </c>
    </row>
    <row r="725" spans="1:4" ht="14.25" hidden="1" customHeight="1">
      <c r="A725" t="s">
        <v>849</v>
      </c>
      <c r="B725">
        <v>51</v>
      </c>
      <c r="C725" t="s">
        <v>900</v>
      </c>
      <c r="D725" t="s">
        <v>1487</v>
      </c>
    </row>
    <row r="726" spans="1:4" ht="14.25" hidden="1" customHeight="1">
      <c r="A726" t="s">
        <v>849</v>
      </c>
      <c r="B726">
        <v>52</v>
      </c>
      <c r="C726" t="s">
        <v>901</v>
      </c>
      <c r="D726" t="s">
        <v>1488</v>
      </c>
    </row>
    <row r="727" spans="1:4" ht="14.25" hidden="1" customHeight="1">
      <c r="A727" t="s">
        <v>849</v>
      </c>
      <c r="B727">
        <v>53</v>
      </c>
      <c r="C727" t="s">
        <v>902</v>
      </c>
      <c r="D727" t="s">
        <v>1487</v>
      </c>
    </row>
    <row r="728" spans="1:4" ht="14.25" hidden="1" customHeight="1">
      <c r="A728" t="s">
        <v>849</v>
      </c>
      <c r="B728">
        <v>54</v>
      </c>
      <c r="C728" t="s">
        <v>903</v>
      </c>
      <c r="D728" t="s">
        <v>1487</v>
      </c>
    </row>
    <row r="729" spans="1:4" ht="14.25" hidden="1" customHeight="1">
      <c r="A729" t="s">
        <v>849</v>
      </c>
      <c r="B729">
        <v>55</v>
      </c>
      <c r="C729" t="s">
        <v>904</v>
      </c>
      <c r="D729" t="s">
        <v>1488</v>
      </c>
    </row>
    <row r="730" spans="1:4" ht="14.25" hidden="1" customHeight="1">
      <c r="A730" t="s">
        <v>849</v>
      </c>
      <c r="B730">
        <v>56</v>
      </c>
      <c r="C730" t="s">
        <v>905</v>
      </c>
      <c r="D730" t="s">
        <v>1488</v>
      </c>
    </row>
    <row r="731" spans="1:4" ht="14.25" hidden="1" customHeight="1">
      <c r="A731" t="s">
        <v>849</v>
      </c>
      <c r="B731">
        <v>57</v>
      </c>
      <c r="C731" t="s">
        <v>906</v>
      </c>
      <c r="D731" t="s">
        <v>1487</v>
      </c>
    </row>
    <row r="732" spans="1:4" ht="14.25" hidden="1" customHeight="1">
      <c r="A732" t="s">
        <v>849</v>
      </c>
      <c r="B732">
        <v>58</v>
      </c>
      <c r="C732" t="s">
        <v>907</v>
      </c>
      <c r="D732" t="s">
        <v>1487</v>
      </c>
    </row>
    <row r="733" spans="1:4" ht="14.25" hidden="1" customHeight="1">
      <c r="A733" t="s">
        <v>849</v>
      </c>
      <c r="B733">
        <v>59</v>
      </c>
      <c r="C733" t="s">
        <v>908</v>
      </c>
      <c r="D733" t="s">
        <v>1487</v>
      </c>
    </row>
    <row r="734" spans="1:4" ht="14.25" hidden="1" customHeight="1">
      <c r="A734" t="s">
        <v>849</v>
      </c>
      <c r="B734">
        <v>60</v>
      </c>
      <c r="C734" t="s">
        <v>909</v>
      </c>
      <c r="D734" t="s">
        <v>1487</v>
      </c>
    </row>
    <row r="735" spans="1:4" ht="14.25" hidden="1" customHeight="1">
      <c r="A735" t="s">
        <v>849</v>
      </c>
      <c r="B735">
        <v>61</v>
      </c>
      <c r="C735" t="s">
        <v>910</v>
      </c>
      <c r="D735" t="s">
        <v>1487</v>
      </c>
    </row>
    <row r="736" spans="1:4" ht="14.25" hidden="1" customHeight="1">
      <c r="A736" t="s">
        <v>849</v>
      </c>
      <c r="B736">
        <v>62</v>
      </c>
      <c r="C736" t="s">
        <v>911</v>
      </c>
      <c r="D736" t="s">
        <v>1487</v>
      </c>
    </row>
    <row r="737" spans="1:4" ht="14.25" hidden="1" customHeight="1">
      <c r="A737" t="s">
        <v>849</v>
      </c>
      <c r="B737">
        <v>63</v>
      </c>
      <c r="C737" t="s">
        <v>912</v>
      </c>
      <c r="D737" t="s">
        <v>1488</v>
      </c>
    </row>
    <row r="738" spans="1:4" ht="14.25" hidden="1" customHeight="1">
      <c r="A738" t="s">
        <v>849</v>
      </c>
      <c r="B738">
        <v>64</v>
      </c>
      <c r="C738" t="s">
        <v>913</v>
      </c>
      <c r="D738" t="s">
        <v>1488</v>
      </c>
    </row>
    <row r="739" spans="1:4" ht="14.25" hidden="1" customHeight="1">
      <c r="A739" t="s">
        <v>849</v>
      </c>
      <c r="B739">
        <v>65</v>
      </c>
      <c r="C739" t="s">
        <v>914</v>
      </c>
      <c r="D739" t="s">
        <v>1488</v>
      </c>
    </row>
    <row r="740" spans="1:4" ht="14.25" hidden="1" customHeight="1">
      <c r="A740" t="s">
        <v>849</v>
      </c>
      <c r="B740">
        <v>66</v>
      </c>
      <c r="C740" t="s">
        <v>915</v>
      </c>
      <c r="D740" t="s">
        <v>1488</v>
      </c>
    </row>
    <row r="741" spans="1:4" ht="14.25" hidden="1" customHeight="1">
      <c r="A741" t="s">
        <v>849</v>
      </c>
      <c r="B741">
        <v>67</v>
      </c>
      <c r="C741" t="s">
        <v>916</v>
      </c>
      <c r="D741" t="s">
        <v>1487</v>
      </c>
    </row>
    <row r="742" spans="1:4" ht="14.25" hidden="1" customHeight="1">
      <c r="A742" t="s">
        <v>849</v>
      </c>
      <c r="B742">
        <v>68</v>
      </c>
      <c r="C742" t="s">
        <v>917</v>
      </c>
      <c r="D742" t="s">
        <v>1488</v>
      </c>
    </row>
    <row r="743" spans="1:4" ht="14.25" hidden="1" customHeight="1">
      <c r="A743" t="s">
        <v>849</v>
      </c>
      <c r="B743">
        <v>69</v>
      </c>
      <c r="C743" t="s">
        <v>918</v>
      </c>
      <c r="D743" t="s">
        <v>1488</v>
      </c>
    </row>
    <row r="744" spans="1:4" ht="14.25" hidden="1" customHeight="1">
      <c r="A744" t="s">
        <v>849</v>
      </c>
      <c r="B744">
        <v>70</v>
      </c>
      <c r="C744" t="s">
        <v>919</v>
      </c>
      <c r="D744" t="s">
        <v>1488</v>
      </c>
    </row>
    <row r="745" spans="1:4" ht="14.25" hidden="1" customHeight="1">
      <c r="A745" t="s">
        <v>849</v>
      </c>
      <c r="B745">
        <v>71</v>
      </c>
      <c r="C745" t="s">
        <v>920</v>
      </c>
      <c r="D745" t="s">
        <v>1487</v>
      </c>
    </row>
    <row r="746" spans="1:4" ht="14.25" hidden="1" customHeight="1">
      <c r="A746" t="s">
        <v>849</v>
      </c>
      <c r="B746">
        <v>72</v>
      </c>
      <c r="C746" t="s">
        <v>921</v>
      </c>
      <c r="D746" t="s">
        <v>1500</v>
      </c>
    </row>
    <row r="747" spans="1:4" ht="14.25" hidden="1" customHeight="1">
      <c r="A747" t="s">
        <v>849</v>
      </c>
      <c r="B747">
        <v>73</v>
      </c>
      <c r="C747" t="s">
        <v>922</v>
      </c>
      <c r="D747" t="s">
        <v>1488</v>
      </c>
    </row>
    <row r="748" spans="1:4" ht="14.25" hidden="1" customHeight="1">
      <c r="A748" t="s">
        <v>849</v>
      </c>
      <c r="B748">
        <v>74</v>
      </c>
      <c r="C748" t="s">
        <v>923</v>
      </c>
      <c r="D748" t="s">
        <v>1487</v>
      </c>
    </row>
    <row r="749" spans="1:4" ht="14.25" hidden="1" customHeight="1">
      <c r="A749" t="s">
        <v>849</v>
      </c>
      <c r="B749">
        <v>75</v>
      </c>
      <c r="C749" t="s">
        <v>924</v>
      </c>
      <c r="D749" t="s">
        <v>1488</v>
      </c>
    </row>
    <row r="750" spans="1:4" ht="14.25" hidden="1" customHeight="1">
      <c r="A750" t="s">
        <v>849</v>
      </c>
      <c r="B750">
        <v>76</v>
      </c>
      <c r="C750" t="s">
        <v>925</v>
      </c>
      <c r="D750" t="s">
        <v>1487</v>
      </c>
    </row>
    <row r="751" spans="1:4" ht="14.25" hidden="1" customHeight="1">
      <c r="A751" t="s">
        <v>849</v>
      </c>
      <c r="B751">
        <v>77</v>
      </c>
      <c r="C751" t="s">
        <v>926</v>
      </c>
      <c r="D751" t="s">
        <v>1488</v>
      </c>
    </row>
    <row r="752" spans="1:4" ht="14.25" hidden="1" customHeight="1">
      <c r="A752" t="s">
        <v>849</v>
      </c>
      <c r="B752">
        <v>78</v>
      </c>
      <c r="C752" t="s">
        <v>927</v>
      </c>
      <c r="D752" t="s">
        <v>1488</v>
      </c>
    </row>
    <row r="753" spans="1:4" ht="14.25" hidden="1" customHeight="1">
      <c r="A753" t="s">
        <v>849</v>
      </c>
      <c r="B753">
        <v>79</v>
      </c>
      <c r="C753" t="s">
        <v>928</v>
      </c>
      <c r="D753" t="s">
        <v>1487</v>
      </c>
    </row>
    <row r="754" spans="1:4" ht="14.25" hidden="1" customHeight="1">
      <c r="A754" t="s">
        <v>849</v>
      </c>
      <c r="B754">
        <v>80</v>
      </c>
      <c r="C754" t="s">
        <v>929</v>
      </c>
      <c r="D754" t="s">
        <v>1500</v>
      </c>
    </row>
    <row r="755" spans="1:4" ht="14.25" hidden="1" customHeight="1">
      <c r="A755" t="s">
        <v>849</v>
      </c>
      <c r="B755">
        <v>81</v>
      </c>
      <c r="C755" t="s">
        <v>930</v>
      </c>
      <c r="D755" t="s">
        <v>1487</v>
      </c>
    </row>
    <row r="756" spans="1:4" ht="14.25" hidden="1" customHeight="1">
      <c r="A756" t="s">
        <v>849</v>
      </c>
      <c r="B756">
        <v>82</v>
      </c>
      <c r="C756" t="s">
        <v>931</v>
      </c>
      <c r="D756" t="s">
        <v>1487</v>
      </c>
    </row>
    <row r="757" spans="1:4" ht="14.25" hidden="1" customHeight="1">
      <c r="A757" t="s">
        <v>849</v>
      </c>
      <c r="B757">
        <v>83</v>
      </c>
      <c r="C757" t="s">
        <v>932</v>
      </c>
      <c r="D757" t="s">
        <v>1488</v>
      </c>
    </row>
    <row r="758" spans="1:4" ht="14.25" hidden="1" customHeight="1">
      <c r="A758" t="s">
        <v>849</v>
      </c>
      <c r="B758">
        <v>84</v>
      </c>
      <c r="C758" t="s">
        <v>933</v>
      </c>
      <c r="D758" t="s">
        <v>1487</v>
      </c>
    </row>
    <row r="759" spans="1:4" ht="14.25" hidden="1" customHeight="1">
      <c r="A759" t="s">
        <v>849</v>
      </c>
      <c r="B759">
        <v>85</v>
      </c>
      <c r="C759" t="s">
        <v>934</v>
      </c>
      <c r="D759" t="s">
        <v>1488</v>
      </c>
    </row>
    <row r="760" spans="1:4" ht="14.25" hidden="1" customHeight="1">
      <c r="A760" t="s">
        <v>849</v>
      </c>
      <c r="B760">
        <v>86</v>
      </c>
      <c r="C760" t="s">
        <v>935</v>
      </c>
      <c r="D760" t="s">
        <v>1488</v>
      </c>
    </row>
    <row r="761" spans="1:4" ht="14.25" hidden="1" customHeight="1">
      <c r="A761" t="s">
        <v>849</v>
      </c>
      <c r="B761">
        <v>87</v>
      </c>
      <c r="C761" t="s">
        <v>936</v>
      </c>
      <c r="D761" t="s">
        <v>1488</v>
      </c>
    </row>
    <row r="762" spans="1:4" ht="14.25" hidden="1" customHeight="1">
      <c r="A762" t="s">
        <v>849</v>
      </c>
      <c r="B762">
        <v>88</v>
      </c>
      <c r="C762" t="s">
        <v>937</v>
      </c>
      <c r="D762" t="s">
        <v>1488</v>
      </c>
    </row>
    <row r="763" spans="1:4" ht="14.25" hidden="1" customHeight="1">
      <c r="A763" t="s">
        <v>849</v>
      </c>
      <c r="B763">
        <v>89</v>
      </c>
      <c r="C763" t="s">
        <v>938</v>
      </c>
      <c r="D763" t="s">
        <v>1488</v>
      </c>
    </row>
    <row r="764" spans="1:4" ht="14.25" hidden="1" customHeight="1">
      <c r="A764" t="s">
        <v>849</v>
      </c>
      <c r="B764">
        <v>90</v>
      </c>
      <c r="C764" t="s">
        <v>939</v>
      </c>
      <c r="D764" t="s">
        <v>1488</v>
      </c>
    </row>
    <row r="765" spans="1:4" ht="14.25" hidden="1" customHeight="1">
      <c r="A765" t="s">
        <v>849</v>
      </c>
      <c r="B765">
        <v>91</v>
      </c>
      <c r="C765" t="s">
        <v>940</v>
      </c>
      <c r="D765" t="s">
        <v>1488</v>
      </c>
    </row>
    <row r="766" spans="1:4" ht="14.25" hidden="1" customHeight="1">
      <c r="A766" t="s">
        <v>849</v>
      </c>
      <c r="B766">
        <v>92</v>
      </c>
      <c r="C766" t="s">
        <v>941</v>
      </c>
      <c r="D766" t="s">
        <v>1487</v>
      </c>
    </row>
    <row r="767" spans="1:4" ht="14.25" hidden="1" customHeight="1">
      <c r="A767" t="s">
        <v>849</v>
      </c>
      <c r="B767">
        <v>93</v>
      </c>
      <c r="C767" t="s">
        <v>942</v>
      </c>
      <c r="D767" t="s">
        <v>1488</v>
      </c>
    </row>
    <row r="768" spans="1:4" ht="14.25" hidden="1" customHeight="1">
      <c r="A768" t="s">
        <v>849</v>
      </c>
      <c r="B768">
        <v>94</v>
      </c>
      <c r="C768" t="s">
        <v>943</v>
      </c>
      <c r="D768" t="s">
        <v>1488</v>
      </c>
    </row>
    <row r="769" spans="1:4" ht="14.25" hidden="1" customHeight="1">
      <c r="A769" t="s">
        <v>849</v>
      </c>
      <c r="B769">
        <v>95</v>
      </c>
      <c r="C769" t="s">
        <v>944</v>
      </c>
      <c r="D769" t="s">
        <v>1488</v>
      </c>
    </row>
    <row r="770" spans="1:4" ht="14.25" hidden="1" customHeight="1">
      <c r="A770" t="s">
        <v>849</v>
      </c>
      <c r="B770">
        <v>96</v>
      </c>
      <c r="C770" t="s">
        <v>945</v>
      </c>
      <c r="D770" t="s">
        <v>1488</v>
      </c>
    </row>
    <row r="771" spans="1:4" ht="14.25" hidden="1" customHeight="1">
      <c r="A771" t="s">
        <v>849</v>
      </c>
      <c r="B771">
        <v>97</v>
      </c>
      <c r="C771" t="s">
        <v>946</v>
      </c>
      <c r="D771" t="s">
        <v>1487</v>
      </c>
    </row>
    <row r="772" spans="1:4" ht="14.25" hidden="1" customHeight="1">
      <c r="A772" t="s">
        <v>849</v>
      </c>
      <c r="B772">
        <v>98</v>
      </c>
      <c r="C772" t="s">
        <v>947</v>
      </c>
      <c r="D772" t="s">
        <v>1487</v>
      </c>
    </row>
    <row r="773" spans="1:4" ht="14.25" hidden="1" customHeight="1">
      <c r="A773" t="s">
        <v>849</v>
      </c>
      <c r="B773">
        <v>99</v>
      </c>
      <c r="C773" t="s">
        <v>948</v>
      </c>
      <c r="D773" t="s">
        <v>1487</v>
      </c>
    </row>
    <row r="774" spans="1:4" ht="14.25" hidden="1" customHeight="1">
      <c r="A774" t="s">
        <v>849</v>
      </c>
      <c r="B774">
        <v>100</v>
      </c>
      <c r="C774" t="s">
        <v>949</v>
      </c>
      <c r="D774" t="s">
        <v>1488</v>
      </c>
    </row>
    <row r="775" spans="1:4" ht="14.25" hidden="1" customHeight="1">
      <c r="A775" t="s">
        <v>849</v>
      </c>
      <c r="B775">
        <v>101</v>
      </c>
      <c r="C775" t="s">
        <v>950</v>
      </c>
      <c r="D775" t="s">
        <v>1487</v>
      </c>
    </row>
    <row r="776" spans="1:4" ht="14.25" hidden="1" customHeight="1">
      <c r="A776" t="s">
        <v>849</v>
      </c>
      <c r="B776">
        <v>102</v>
      </c>
      <c r="C776" t="s">
        <v>951</v>
      </c>
      <c r="D776" t="s">
        <v>1487</v>
      </c>
    </row>
    <row r="777" spans="1:4" ht="14.25" hidden="1" customHeight="1">
      <c r="A777" t="s">
        <v>849</v>
      </c>
      <c r="B777">
        <v>103</v>
      </c>
      <c r="C777" t="s">
        <v>952</v>
      </c>
      <c r="D777" t="s">
        <v>1488</v>
      </c>
    </row>
    <row r="778" spans="1:4" ht="14.25" hidden="1" customHeight="1">
      <c r="A778" t="s">
        <v>849</v>
      </c>
      <c r="B778">
        <v>104</v>
      </c>
      <c r="C778" t="s">
        <v>953</v>
      </c>
      <c r="D778" t="s">
        <v>1488</v>
      </c>
    </row>
    <row r="779" spans="1:4" ht="14.25" hidden="1" customHeight="1">
      <c r="A779" t="s">
        <v>849</v>
      </c>
      <c r="B779">
        <v>105</v>
      </c>
      <c r="C779" t="s">
        <v>954</v>
      </c>
      <c r="D779" t="s">
        <v>1488</v>
      </c>
    </row>
    <row r="780" spans="1:4" ht="14.25" hidden="1" customHeight="1">
      <c r="A780" t="s">
        <v>849</v>
      </c>
      <c r="B780">
        <v>106</v>
      </c>
      <c r="C780" t="s">
        <v>955</v>
      </c>
      <c r="D780" t="s">
        <v>1488</v>
      </c>
    </row>
    <row r="781" spans="1:4" ht="14.25" hidden="1" customHeight="1">
      <c r="A781" t="s">
        <v>849</v>
      </c>
      <c r="B781">
        <v>107</v>
      </c>
      <c r="C781" t="s">
        <v>956</v>
      </c>
      <c r="D781" t="s">
        <v>1487</v>
      </c>
    </row>
    <row r="782" spans="1:4" ht="14.25" hidden="1" customHeight="1">
      <c r="A782" t="s">
        <v>849</v>
      </c>
      <c r="B782">
        <v>108</v>
      </c>
      <c r="C782" t="s">
        <v>957</v>
      </c>
      <c r="D782" t="s">
        <v>1488</v>
      </c>
    </row>
    <row r="783" spans="1:4" ht="14.25" hidden="1" customHeight="1">
      <c r="A783" t="s">
        <v>849</v>
      </c>
      <c r="B783">
        <v>109</v>
      </c>
      <c r="C783" t="s">
        <v>958</v>
      </c>
      <c r="D783" t="s">
        <v>1487</v>
      </c>
    </row>
    <row r="784" spans="1:4" ht="14.25" hidden="1" customHeight="1">
      <c r="A784" t="s">
        <v>849</v>
      </c>
      <c r="B784">
        <v>110</v>
      </c>
      <c r="C784" t="s">
        <v>959</v>
      </c>
      <c r="D784" t="s">
        <v>1488</v>
      </c>
    </row>
    <row r="785" spans="1:4" ht="14.25" hidden="1" customHeight="1">
      <c r="A785" t="s">
        <v>849</v>
      </c>
      <c r="B785">
        <v>111</v>
      </c>
      <c r="C785" t="s">
        <v>960</v>
      </c>
      <c r="D785" t="s">
        <v>1487</v>
      </c>
    </row>
    <row r="786" spans="1:4" ht="14.25" hidden="1" customHeight="1">
      <c r="A786" t="s">
        <v>849</v>
      </c>
      <c r="B786">
        <v>112</v>
      </c>
      <c r="C786" t="s">
        <v>961</v>
      </c>
      <c r="D786" t="s">
        <v>1488</v>
      </c>
    </row>
    <row r="787" spans="1:4" ht="14.25" hidden="1" customHeight="1">
      <c r="A787" t="s">
        <v>849</v>
      </c>
      <c r="B787">
        <v>113</v>
      </c>
      <c r="C787" t="s">
        <v>962</v>
      </c>
      <c r="D787" t="s">
        <v>1488</v>
      </c>
    </row>
    <row r="788" spans="1:4" ht="14.25" hidden="1" customHeight="1">
      <c r="A788" t="s">
        <v>849</v>
      </c>
      <c r="B788">
        <v>114</v>
      </c>
      <c r="C788" t="s">
        <v>963</v>
      </c>
      <c r="D788" t="s">
        <v>1487</v>
      </c>
    </row>
    <row r="789" spans="1:4" ht="14.25" hidden="1" customHeight="1">
      <c r="A789" t="s">
        <v>849</v>
      </c>
      <c r="B789">
        <v>115</v>
      </c>
      <c r="C789" t="s">
        <v>964</v>
      </c>
      <c r="D789" t="s">
        <v>1487</v>
      </c>
    </row>
    <row r="790" spans="1:4" ht="14.25" hidden="1" customHeight="1">
      <c r="A790" t="s">
        <v>849</v>
      </c>
      <c r="B790">
        <v>116</v>
      </c>
      <c r="C790" t="s">
        <v>965</v>
      </c>
      <c r="D790" t="s">
        <v>1488</v>
      </c>
    </row>
    <row r="791" spans="1:4" ht="14.25" hidden="1" customHeight="1">
      <c r="A791" t="s">
        <v>849</v>
      </c>
      <c r="B791">
        <v>117</v>
      </c>
      <c r="C791" t="s">
        <v>966</v>
      </c>
      <c r="D791" t="s">
        <v>1487</v>
      </c>
    </row>
    <row r="792" spans="1:4" ht="14.25" hidden="1" customHeight="1">
      <c r="A792" t="s">
        <v>849</v>
      </c>
      <c r="B792">
        <v>118</v>
      </c>
      <c r="C792" t="s">
        <v>967</v>
      </c>
      <c r="D792" t="s">
        <v>1488</v>
      </c>
    </row>
    <row r="793" spans="1:4" ht="14.25" hidden="1" customHeight="1">
      <c r="A793" t="s">
        <v>849</v>
      </c>
      <c r="B793">
        <v>119</v>
      </c>
      <c r="C793" t="s">
        <v>968</v>
      </c>
      <c r="D793" t="s">
        <v>1488</v>
      </c>
    </row>
    <row r="794" spans="1:4" ht="14.25" hidden="1" customHeight="1">
      <c r="A794" t="s">
        <v>1024</v>
      </c>
      <c r="B794">
        <v>1</v>
      </c>
      <c r="C794" t="s">
        <v>1025</v>
      </c>
      <c r="D794" s="1" t="s">
        <v>1488</v>
      </c>
    </row>
    <row r="795" spans="1:4" ht="14.25" hidden="1" customHeight="1">
      <c r="A795" t="s">
        <v>1024</v>
      </c>
      <c r="B795">
        <v>2</v>
      </c>
      <c r="C795" t="s">
        <v>1026</v>
      </c>
      <c r="D795" t="s">
        <v>1488</v>
      </c>
    </row>
    <row r="796" spans="1:4" ht="14.25" hidden="1" customHeight="1">
      <c r="A796" t="s">
        <v>1024</v>
      </c>
      <c r="B796">
        <v>3</v>
      </c>
      <c r="C796" t="s">
        <v>1027</v>
      </c>
      <c r="D796" s="1" t="s">
        <v>1488</v>
      </c>
    </row>
    <row r="797" spans="1:4" ht="14.25" hidden="1" customHeight="1">
      <c r="A797" t="s">
        <v>1024</v>
      </c>
      <c r="B797">
        <v>4</v>
      </c>
      <c r="C797" t="s">
        <v>1028</v>
      </c>
      <c r="D797" s="1" t="s">
        <v>1487</v>
      </c>
    </row>
    <row r="798" spans="1:4" ht="14.25" hidden="1" customHeight="1">
      <c r="A798" t="s">
        <v>1024</v>
      </c>
      <c r="B798">
        <v>5</v>
      </c>
      <c r="C798" t="s">
        <v>1029</v>
      </c>
      <c r="D798" s="1" t="s">
        <v>1488</v>
      </c>
    </row>
    <row r="799" spans="1:4" ht="14.25" hidden="1" customHeight="1">
      <c r="A799" t="s">
        <v>1024</v>
      </c>
      <c r="B799">
        <v>6</v>
      </c>
      <c r="C799" t="s">
        <v>1030</v>
      </c>
      <c r="D799" t="s">
        <v>1488</v>
      </c>
    </row>
    <row r="800" spans="1:4" ht="14.25" hidden="1" customHeight="1">
      <c r="A800" t="s">
        <v>1024</v>
      </c>
      <c r="B800">
        <v>7</v>
      </c>
      <c r="C800" t="s">
        <v>1031</v>
      </c>
      <c r="D800" t="s">
        <v>1488</v>
      </c>
    </row>
    <row r="801" spans="1:4" ht="14.25" hidden="1" customHeight="1">
      <c r="A801" t="s">
        <v>1024</v>
      </c>
      <c r="B801">
        <v>8</v>
      </c>
      <c r="C801" t="s">
        <v>1032</v>
      </c>
      <c r="D801" t="s">
        <v>1488</v>
      </c>
    </row>
    <row r="802" spans="1:4" ht="14.25" hidden="1" customHeight="1">
      <c r="A802" t="s">
        <v>1024</v>
      </c>
      <c r="B802">
        <v>9</v>
      </c>
      <c r="C802" t="s">
        <v>1033</v>
      </c>
      <c r="D802" t="s">
        <v>1488</v>
      </c>
    </row>
    <row r="803" spans="1:4" ht="14.25" hidden="1" customHeight="1">
      <c r="A803" t="s">
        <v>1024</v>
      </c>
      <c r="B803">
        <v>10</v>
      </c>
      <c r="C803" t="s">
        <v>1034</v>
      </c>
      <c r="D803" t="s">
        <v>1488</v>
      </c>
    </row>
    <row r="804" spans="1:4" ht="14.25" hidden="1" customHeight="1">
      <c r="A804" t="s">
        <v>1024</v>
      </c>
      <c r="B804">
        <v>11</v>
      </c>
      <c r="C804" t="s">
        <v>1035</v>
      </c>
      <c r="D804" t="s">
        <v>1488</v>
      </c>
    </row>
    <row r="805" spans="1:4" ht="14.25" hidden="1" customHeight="1">
      <c r="A805" t="s">
        <v>1024</v>
      </c>
      <c r="B805">
        <v>12</v>
      </c>
      <c r="C805" t="s">
        <v>1036</v>
      </c>
      <c r="D805" t="s">
        <v>1488</v>
      </c>
    </row>
    <row r="806" spans="1:4" ht="14.25" hidden="1" customHeight="1">
      <c r="A806" t="s">
        <v>1024</v>
      </c>
      <c r="B806">
        <v>13</v>
      </c>
      <c r="C806" t="s">
        <v>1037</v>
      </c>
      <c r="D806" t="s">
        <v>1488</v>
      </c>
    </row>
    <row r="807" spans="1:4" ht="14.25" hidden="1" customHeight="1">
      <c r="A807" t="s">
        <v>1024</v>
      </c>
      <c r="B807">
        <v>14</v>
      </c>
      <c r="C807" t="s">
        <v>1038</v>
      </c>
      <c r="D807" t="s">
        <v>1488</v>
      </c>
    </row>
    <row r="808" spans="1:4" ht="14.25" hidden="1" customHeight="1">
      <c r="A808" t="s">
        <v>1024</v>
      </c>
      <c r="B808">
        <v>15</v>
      </c>
      <c r="C808" t="s">
        <v>1039</v>
      </c>
      <c r="D808" t="s">
        <v>1488</v>
      </c>
    </row>
    <row r="809" spans="1:4" ht="14.25" hidden="1" customHeight="1">
      <c r="A809" t="s">
        <v>1024</v>
      </c>
      <c r="B809">
        <v>16</v>
      </c>
      <c r="C809" t="s">
        <v>1040</v>
      </c>
      <c r="D809" t="s">
        <v>1488</v>
      </c>
    </row>
    <row r="810" spans="1:4" ht="14.25" hidden="1" customHeight="1">
      <c r="A810" t="s">
        <v>1024</v>
      </c>
      <c r="B810">
        <v>17</v>
      </c>
      <c r="C810" t="s">
        <v>1041</v>
      </c>
      <c r="D810" t="s">
        <v>1500</v>
      </c>
    </row>
    <row r="811" spans="1:4" ht="14.25" hidden="1" customHeight="1">
      <c r="A811" t="s">
        <v>1024</v>
      </c>
      <c r="B811">
        <v>18</v>
      </c>
      <c r="C811" t="s">
        <v>1042</v>
      </c>
      <c r="D811" t="s">
        <v>1488</v>
      </c>
    </row>
    <row r="812" spans="1:4" ht="14.25" hidden="1" customHeight="1">
      <c r="A812" t="s">
        <v>1024</v>
      </c>
      <c r="B812">
        <v>19</v>
      </c>
      <c r="C812" t="s">
        <v>1043</v>
      </c>
      <c r="D812" t="s">
        <v>1488</v>
      </c>
    </row>
    <row r="813" spans="1:4" ht="14.25" hidden="1" customHeight="1">
      <c r="A813" t="s">
        <v>1024</v>
      </c>
      <c r="B813">
        <v>20</v>
      </c>
      <c r="C813" t="s">
        <v>1044</v>
      </c>
      <c r="D813" t="s">
        <v>1488</v>
      </c>
    </row>
    <row r="814" spans="1:4" ht="14.25" hidden="1" customHeight="1">
      <c r="A814" t="s">
        <v>1024</v>
      </c>
      <c r="B814">
        <v>21</v>
      </c>
      <c r="C814" t="s">
        <v>1045</v>
      </c>
      <c r="D814" t="s">
        <v>1500</v>
      </c>
    </row>
    <row r="815" spans="1:4" ht="14.25" hidden="1" customHeight="1">
      <c r="A815" t="s">
        <v>1024</v>
      </c>
      <c r="B815">
        <v>22</v>
      </c>
      <c r="C815" t="s">
        <v>1046</v>
      </c>
      <c r="D815" t="s">
        <v>1488</v>
      </c>
    </row>
    <row r="816" spans="1:4" ht="14.25" hidden="1" customHeight="1">
      <c r="A816" t="s">
        <v>1024</v>
      </c>
      <c r="B816">
        <v>23</v>
      </c>
      <c r="C816" t="s">
        <v>1047</v>
      </c>
      <c r="D816" t="s">
        <v>1488</v>
      </c>
    </row>
    <row r="817" spans="1:4" ht="14.25" hidden="1" customHeight="1">
      <c r="A817" t="s">
        <v>1024</v>
      </c>
      <c r="B817">
        <v>24</v>
      </c>
      <c r="C817" t="s">
        <v>1048</v>
      </c>
      <c r="D817" t="s">
        <v>1488</v>
      </c>
    </row>
    <row r="818" spans="1:4" ht="14.25" hidden="1" customHeight="1">
      <c r="A818" t="s">
        <v>1024</v>
      </c>
      <c r="B818">
        <v>25</v>
      </c>
      <c r="C818" t="s">
        <v>1049</v>
      </c>
      <c r="D818" t="s">
        <v>1488</v>
      </c>
    </row>
    <row r="819" spans="1:4" ht="14.25" hidden="1" customHeight="1">
      <c r="A819" t="s">
        <v>1024</v>
      </c>
      <c r="B819">
        <v>26</v>
      </c>
      <c r="C819" t="s">
        <v>1050</v>
      </c>
      <c r="D819" t="s">
        <v>1488</v>
      </c>
    </row>
    <row r="820" spans="1:4" ht="14.25" hidden="1" customHeight="1">
      <c r="A820" t="s">
        <v>1024</v>
      </c>
      <c r="B820">
        <v>27</v>
      </c>
      <c r="C820" t="s">
        <v>1051</v>
      </c>
      <c r="D820" t="s">
        <v>1488</v>
      </c>
    </row>
    <row r="821" spans="1:4" ht="14.25" hidden="1" customHeight="1">
      <c r="A821" t="s">
        <v>1024</v>
      </c>
      <c r="B821">
        <v>28</v>
      </c>
      <c r="C821" t="s">
        <v>1052</v>
      </c>
      <c r="D821" t="s">
        <v>1488</v>
      </c>
    </row>
    <row r="822" spans="1:4" ht="14.25" hidden="1" customHeight="1">
      <c r="A822" t="s">
        <v>1024</v>
      </c>
      <c r="B822">
        <v>29</v>
      </c>
      <c r="C822" t="s">
        <v>1053</v>
      </c>
      <c r="D822" t="s">
        <v>1488</v>
      </c>
    </row>
    <row r="823" spans="1:4" ht="14.25" hidden="1" customHeight="1">
      <c r="A823" t="s">
        <v>1024</v>
      </c>
      <c r="B823">
        <v>30</v>
      </c>
      <c r="C823" t="s">
        <v>1054</v>
      </c>
      <c r="D823" t="s">
        <v>1488</v>
      </c>
    </row>
    <row r="824" spans="1:4" ht="14.25" hidden="1" customHeight="1">
      <c r="A824" t="s">
        <v>1024</v>
      </c>
      <c r="B824">
        <v>31</v>
      </c>
      <c r="C824" t="s">
        <v>1055</v>
      </c>
      <c r="D824" t="s">
        <v>1488</v>
      </c>
    </row>
    <row r="825" spans="1:4" ht="14.25" hidden="1" customHeight="1">
      <c r="A825" t="s">
        <v>1024</v>
      </c>
      <c r="B825">
        <v>32</v>
      </c>
      <c r="C825" t="s">
        <v>1056</v>
      </c>
      <c r="D825" t="s">
        <v>1488</v>
      </c>
    </row>
    <row r="826" spans="1:4" ht="14.25" hidden="1" customHeight="1">
      <c r="A826" t="s">
        <v>1024</v>
      </c>
      <c r="B826">
        <v>33</v>
      </c>
      <c r="C826" t="s">
        <v>1057</v>
      </c>
      <c r="D826" t="s">
        <v>1488</v>
      </c>
    </row>
    <row r="827" spans="1:4" ht="14.25" hidden="1" customHeight="1">
      <c r="A827" t="s">
        <v>1024</v>
      </c>
      <c r="B827">
        <v>34</v>
      </c>
      <c r="C827" t="s">
        <v>1058</v>
      </c>
      <c r="D827" t="s">
        <v>1488</v>
      </c>
    </row>
    <row r="828" spans="1:4" ht="14.25" hidden="1" customHeight="1">
      <c r="A828" t="s">
        <v>1024</v>
      </c>
      <c r="B828">
        <v>35</v>
      </c>
      <c r="C828" t="s">
        <v>1059</v>
      </c>
      <c r="D828" t="s">
        <v>1488</v>
      </c>
    </row>
    <row r="829" spans="1:4" ht="14.25" hidden="1" customHeight="1">
      <c r="A829" t="s">
        <v>1024</v>
      </c>
      <c r="B829">
        <v>36</v>
      </c>
      <c r="C829" t="s">
        <v>1060</v>
      </c>
      <c r="D829" t="s">
        <v>1488</v>
      </c>
    </row>
    <row r="830" spans="1:4" ht="14.25" hidden="1" customHeight="1">
      <c r="A830" t="s">
        <v>1024</v>
      </c>
      <c r="B830">
        <v>37</v>
      </c>
      <c r="C830" t="s">
        <v>1061</v>
      </c>
      <c r="D830" t="s">
        <v>1488</v>
      </c>
    </row>
    <row r="831" spans="1:4" ht="14.25" hidden="1" customHeight="1">
      <c r="A831" t="s">
        <v>1024</v>
      </c>
      <c r="B831">
        <v>38</v>
      </c>
      <c r="C831" t="s">
        <v>1062</v>
      </c>
      <c r="D831" t="s">
        <v>1488</v>
      </c>
    </row>
    <row r="832" spans="1:4" ht="14.25" hidden="1" customHeight="1">
      <c r="A832" t="s">
        <v>1024</v>
      </c>
      <c r="B832">
        <v>39</v>
      </c>
      <c r="C832" t="s">
        <v>1063</v>
      </c>
      <c r="D832" t="s">
        <v>1488</v>
      </c>
    </row>
    <row r="833" spans="1:4" ht="14.25" hidden="1" customHeight="1">
      <c r="A833" t="s">
        <v>1024</v>
      </c>
      <c r="B833">
        <v>40</v>
      </c>
      <c r="C833" t="s">
        <v>1064</v>
      </c>
      <c r="D833" t="s">
        <v>1488</v>
      </c>
    </row>
    <row r="834" spans="1:4" ht="14.25" hidden="1" customHeight="1">
      <c r="A834" t="s">
        <v>1024</v>
      </c>
      <c r="B834">
        <v>41</v>
      </c>
      <c r="C834" t="s">
        <v>1065</v>
      </c>
      <c r="D834" t="s">
        <v>1488</v>
      </c>
    </row>
    <row r="835" spans="1:4" ht="14.25" hidden="1" customHeight="1">
      <c r="A835" t="s">
        <v>1024</v>
      </c>
      <c r="B835">
        <v>42</v>
      </c>
      <c r="C835" t="s">
        <v>1066</v>
      </c>
      <c r="D835" t="s">
        <v>1488</v>
      </c>
    </row>
    <row r="836" spans="1:4" ht="14.25" hidden="1" customHeight="1">
      <c r="A836" t="s">
        <v>1024</v>
      </c>
      <c r="B836">
        <v>43</v>
      </c>
      <c r="C836" t="s">
        <v>1067</v>
      </c>
      <c r="D836" t="s">
        <v>1488</v>
      </c>
    </row>
    <row r="837" spans="1:4" ht="14.25" hidden="1" customHeight="1">
      <c r="A837" t="s">
        <v>1024</v>
      </c>
      <c r="B837">
        <v>44</v>
      </c>
      <c r="C837" t="s">
        <v>1068</v>
      </c>
      <c r="D837" t="s">
        <v>1488</v>
      </c>
    </row>
    <row r="838" spans="1:4" ht="14.25" hidden="1" customHeight="1">
      <c r="A838" t="s">
        <v>1024</v>
      </c>
      <c r="B838">
        <v>45</v>
      </c>
      <c r="C838" t="s">
        <v>1069</v>
      </c>
      <c r="D838" t="s">
        <v>1488</v>
      </c>
    </row>
    <row r="839" spans="1:4" ht="14.25" hidden="1" customHeight="1">
      <c r="A839" t="s">
        <v>1024</v>
      </c>
      <c r="B839">
        <v>46</v>
      </c>
      <c r="C839" t="s">
        <v>1070</v>
      </c>
      <c r="D839" t="s">
        <v>1487</v>
      </c>
    </row>
    <row r="840" spans="1:4" ht="14.25" hidden="1" customHeight="1">
      <c r="A840" t="s">
        <v>1024</v>
      </c>
      <c r="B840">
        <v>47</v>
      </c>
      <c r="C840" t="s">
        <v>1071</v>
      </c>
      <c r="D840" t="s">
        <v>1488</v>
      </c>
    </row>
    <row r="841" spans="1:4" ht="14.25" hidden="1" customHeight="1">
      <c r="A841" t="s">
        <v>1024</v>
      </c>
      <c r="B841">
        <v>48</v>
      </c>
      <c r="C841" t="s">
        <v>1072</v>
      </c>
      <c r="D841" t="s">
        <v>1487</v>
      </c>
    </row>
    <row r="842" spans="1:4" ht="14.25" hidden="1" customHeight="1">
      <c r="A842" t="s">
        <v>1024</v>
      </c>
      <c r="B842">
        <v>49</v>
      </c>
      <c r="C842" t="s">
        <v>1073</v>
      </c>
      <c r="D842" t="s">
        <v>1488</v>
      </c>
    </row>
    <row r="843" spans="1:4" ht="14.25" hidden="1" customHeight="1">
      <c r="A843" t="s">
        <v>1024</v>
      </c>
      <c r="B843">
        <v>50</v>
      </c>
      <c r="C843" t="s">
        <v>1074</v>
      </c>
      <c r="D843" t="s">
        <v>1487</v>
      </c>
    </row>
    <row r="844" spans="1:4" ht="14.25" hidden="1" customHeight="1">
      <c r="A844" t="s">
        <v>1024</v>
      </c>
      <c r="B844">
        <v>51</v>
      </c>
      <c r="C844" t="s">
        <v>1075</v>
      </c>
      <c r="D844" t="s">
        <v>1488</v>
      </c>
    </row>
    <row r="845" spans="1:4" ht="14.25" hidden="1" customHeight="1">
      <c r="A845" t="s">
        <v>1024</v>
      </c>
      <c r="B845">
        <v>52</v>
      </c>
      <c r="C845" t="s">
        <v>1076</v>
      </c>
      <c r="D845" t="s">
        <v>1487</v>
      </c>
    </row>
    <row r="846" spans="1:4" ht="14.25" hidden="1" customHeight="1">
      <c r="A846" t="s">
        <v>1024</v>
      </c>
      <c r="B846">
        <v>53</v>
      </c>
      <c r="C846" t="s">
        <v>1077</v>
      </c>
      <c r="D846" t="s">
        <v>1488</v>
      </c>
    </row>
    <row r="847" spans="1:4" ht="14.25" hidden="1" customHeight="1">
      <c r="A847" t="s">
        <v>1024</v>
      </c>
      <c r="B847">
        <v>54</v>
      </c>
      <c r="C847" t="s">
        <v>1078</v>
      </c>
      <c r="D847" t="s">
        <v>1488</v>
      </c>
    </row>
    <row r="848" spans="1:4" ht="14.25" hidden="1" customHeight="1">
      <c r="A848" t="s">
        <v>1024</v>
      </c>
      <c r="B848">
        <v>55</v>
      </c>
      <c r="C848" t="s">
        <v>1079</v>
      </c>
      <c r="D848" t="s">
        <v>1488</v>
      </c>
    </row>
    <row r="849" spans="1:4" ht="14.25" hidden="1" customHeight="1">
      <c r="A849" t="s">
        <v>1024</v>
      </c>
      <c r="B849">
        <v>56</v>
      </c>
      <c r="C849" t="s">
        <v>1080</v>
      </c>
      <c r="D849" t="s">
        <v>1500</v>
      </c>
    </row>
    <row r="850" spans="1:4" ht="14.25" hidden="1" customHeight="1">
      <c r="A850" t="s">
        <v>1024</v>
      </c>
      <c r="B850">
        <v>57</v>
      </c>
      <c r="C850" t="s">
        <v>1081</v>
      </c>
      <c r="D850" t="s">
        <v>1487</v>
      </c>
    </row>
    <row r="851" spans="1:4" ht="14.25" hidden="1" customHeight="1">
      <c r="A851" t="s">
        <v>1024</v>
      </c>
      <c r="B851">
        <v>58</v>
      </c>
      <c r="C851" t="s">
        <v>1082</v>
      </c>
      <c r="D851" t="s">
        <v>1488</v>
      </c>
    </row>
    <row r="852" spans="1:4" ht="14.25" hidden="1" customHeight="1">
      <c r="A852" t="s">
        <v>1024</v>
      </c>
      <c r="B852">
        <v>59</v>
      </c>
      <c r="C852" t="s">
        <v>1083</v>
      </c>
      <c r="D852" t="s">
        <v>1488</v>
      </c>
    </row>
    <row r="853" spans="1:4" ht="14.25" hidden="1" customHeight="1">
      <c r="A853" t="s">
        <v>1024</v>
      </c>
      <c r="B853">
        <v>60</v>
      </c>
      <c r="C853" t="s">
        <v>1084</v>
      </c>
      <c r="D853" t="s">
        <v>1488</v>
      </c>
    </row>
    <row r="854" spans="1:4" ht="14.25" hidden="1" customHeight="1">
      <c r="A854" t="s">
        <v>1024</v>
      </c>
      <c r="B854">
        <v>61</v>
      </c>
      <c r="C854" t="s">
        <v>1085</v>
      </c>
      <c r="D854" t="s">
        <v>1487</v>
      </c>
    </row>
    <row r="855" spans="1:4" ht="14.25" hidden="1" customHeight="1">
      <c r="A855" t="s">
        <v>1024</v>
      </c>
      <c r="B855">
        <v>62</v>
      </c>
      <c r="C855" t="s">
        <v>1086</v>
      </c>
      <c r="D855" t="s">
        <v>1488</v>
      </c>
    </row>
    <row r="856" spans="1:4" ht="14.25" hidden="1" customHeight="1">
      <c r="A856" t="s">
        <v>1024</v>
      </c>
      <c r="B856">
        <v>63</v>
      </c>
      <c r="C856" t="s">
        <v>1087</v>
      </c>
      <c r="D856" t="s">
        <v>1500</v>
      </c>
    </row>
    <row r="857" spans="1:4" ht="14.25" hidden="1" customHeight="1">
      <c r="A857" t="s">
        <v>1024</v>
      </c>
      <c r="B857">
        <v>64</v>
      </c>
      <c r="C857" t="s">
        <v>1088</v>
      </c>
      <c r="D857" t="s">
        <v>1488</v>
      </c>
    </row>
    <row r="858" spans="1:4" ht="14.25" hidden="1" customHeight="1">
      <c r="A858" t="s">
        <v>1024</v>
      </c>
      <c r="B858">
        <v>65</v>
      </c>
      <c r="C858" t="s">
        <v>1089</v>
      </c>
      <c r="D858" t="s">
        <v>1488</v>
      </c>
    </row>
    <row r="859" spans="1:4" ht="14.25" hidden="1" customHeight="1">
      <c r="A859" t="s">
        <v>1024</v>
      </c>
      <c r="B859">
        <v>66</v>
      </c>
      <c r="C859" t="s">
        <v>1090</v>
      </c>
      <c r="D859" t="s">
        <v>1487</v>
      </c>
    </row>
    <row r="860" spans="1:4" ht="14.25" hidden="1" customHeight="1">
      <c r="A860" t="s">
        <v>1024</v>
      </c>
      <c r="B860">
        <v>67</v>
      </c>
      <c r="C860" t="s">
        <v>1091</v>
      </c>
      <c r="D860" t="s">
        <v>1488</v>
      </c>
    </row>
    <row r="861" spans="1:4" ht="14.25" hidden="1" customHeight="1">
      <c r="A861" t="s">
        <v>1024</v>
      </c>
      <c r="B861">
        <v>68</v>
      </c>
      <c r="C861" t="s">
        <v>1092</v>
      </c>
      <c r="D861" t="s">
        <v>1500</v>
      </c>
    </row>
    <row r="862" spans="1:4" ht="14.25" hidden="1" customHeight="1">
      <c r="A862" t="s">
        <v>1024</v>
      </c>
      <c r="B862">
        <v>69</v>
      </c>
      <c r="C862" t="s">
        <v>1093</v>
      </c>
      <c r="D862" t="s">
        <v>1500</v>
      </c>
    </row>
    <row r="863" spans="1:4" ht="14.25" hidden="1" customHeight="1">
      <c r="A863" t="s">
        <v>1024</v>
      </c>
      <c r="B863">
        <v>70</v>
      </c>
      <c r="C863" t="s">
        <v>1094</v>
      </c>
      <c r="D863" t="s">
        <v>1488</v>
      </c>
    </row>
    <row r="864" spans="1:4" ht="14.25" hidden="1" customHeight="1">
      <c r="A864" t="s">
        <v>1024</v>
      </c>
      <c r="B864">
        <v>71</v>
      </c>
      <c r="C864" t="s">
        <v>1095</v>
      </c>
      <c r="D864" t="s">
        <v>1488</v>
      </c>
    </row>
    <row r="865" spans="1:4" ht="14.25" hidden="1" customHeight="1">
      <c r="A865" t="s">
        <v>1024</v>
      </c>
      <c r="B865">
        <v>72</v>
      </c>
      <c r="C865" t="s">
        <v>1096</v>
      </c>
      <c r="D865" t="s">
        <v>1487</v>
      </c>
    </row>
    <row r="866" spans="1:4" ht="14.25" hidden="1" customHeight="1">
      <c r="A866" t="s">
        <v>1024</v>
      </c>
      <c r="B866">
        <v>73</v>
      </c>
      <c r="C866" t="s">
        <v>1097</v>
      </c>
      <c r="D866" t="s">
        <v>1488</v>
      </c>
    </row>
    <row r="867" spans="1:4" ht="14.25" hidden="1" customHeight="1">
      <c r="A867" t="s">
        <v>1024</v>
      </c>
      <c r="B867">
        <v>74</v>
      </c>
      <c r="C867" t="s">
        <v>1098</v>
      </c>
      <c r="D867" t="s">
        <v>1487</v>
      </c>
    </row>
    <row r="868" spans="1:4" ht="14.25" hidden="1" customHeight="1">
      <c r="A868" t="s">
        <v>1024</v>
      </c>
      <c r="B868">
        <v>75</v>
      </c>
      <c r="C868" t="s">
        <v>1099</v>
      </c>
      <c r="D868" t="s">
        <v>1488</v>
      </c>
    </row>
    <row r="869" spans="1:4" ht="14.25" hidden="1" customHeight="1">
      <c r="A869" t="s">
        <v>1024</v>
      </c>
      <c r="B869">
        <v>76</v>
      </c>
      <c r="C869" t="s">
        <v>1100</v>
      </c>
      <c r="D869" t="s">
        <v>1487</v>
      </c>
    </row>
    <row r="870" spans="1:4" ht="14.25" hidden="1" customHeight="1">
      <c r="A870" t="s">
        <v>1024</v>
      </c>
      <c r="B870">
        <v>77</v>
      </c>
      <c r="C870" t="s">
        <v>1101</v>
      </c>
      <c r="D870" t="s">
        <v>1488</v>
      </c>
    </row>
    <row r="871" spans="1:4" ht="14.25" hidden="1" customHeight="1">
      <c r="A871" t="s">
        <v>1024</v>
      </c>
      <c r="B871">
        <v>78</v>
      </c>
      <c r="C871" t="s">
        <v>1102</v>
      </c>
      <c r="D871" t="s">
        <v>1488</v>
      </c>
    </row>
    <row r="872" spans="1:4" ht="14.25" hidden="1" customHeight="1">
      <c r="A872" t="s">
        <v>1024</v>
      </c>
      <c r="B872">
        <v>79</v>
      </c>
      <c r="C872" t="s">
        <v>1103</v>
      </c>
      <c r="D872" t="s">
        <v>1488</v>
      </c>
    </row>
    <row r="873" spans="1:4" ht="14.25" hidden="1" customHeight="1">
      <c r="A873" t="s">
        <v>1024</v>
      </c>
      <c r="B873">
        <v>80</v>
      </c>
      <c r="C873" t="s">
        <v>1104</v>
      </c>
      <c r="D873" t="s">
        <v>1487</v>
      </c>
    </row>
    <row r="874" spans="1:4" ht="14.25" hidden="1" customHeight="1">
      <c r="A874" t="s">
        <v>1024</v>
      </c>
      <c r="B874">
        <v>81</v>
      </c>
      <c r="C874" t="s">
        <v>1105</v>
      </c>
      <c r="D874" t="s">
        <v>1487</v>
      </c>
    </row>
    <row r="875" spans="1:4" ht="14.25" hidden="1" customHeight="1">
      <c r="A875" t="s">
        <v>1024</v>
      </c>
      <c r="B875">
        <v>82</v>
      </c>
      <c r="C875" t="s">
        <v>1106</v>
      </c>
      <c r="D875" t="s">
        <v>1488</v>
      </c>
    </row>
    <row r="876" spans="1:4" ht="14.25" hidden="1" customHeight="1">
      <c r="A876" t="s">
        <v>1024</v>
      </c>
      <c r="B876">
        <v>83</v>
      </c>
      <c r="C876" t="s">
        <v>1107</v>
      </c>
      <c r="D876" t="s">
        <v>1488</v>
      </c>
    </row>
    <row r="877" spans="1:4" ht="14.25" hidden="1" customHeight="1">
      <c r="A877" t="s">
        <v>1024</v>
      </c>
      <c r="B877">
        <v>84</v>
      </c>
      <c r="C877" t="s">
        <v>1108</v>
      </c>
      <c r="D877" t="s">
        <v>1488</v>
      </c>
    </row>
    <row r="878" spans="1:4" ht="14.25" hidden="1" customHeight="1">
      <c r="A878" t="s">
        <v>1024</v>
      </c>
      <c r="B878">
        <v>85</v>
      </c>
      <c r="C878" t="s">
        <v>1109</v>
      </c>
      <c r="D878" t="s">
        <v>1488</v>
      </c>
    </row>
    <row r="879" spans="1:4" ht="14.25" hidden="1" customHeight="1">
      <c r="A879" t="s">
        <v>1024</v>
      </c>
      <c r="B879">
        <v>86</v>
      </c>
      <c r="C879" t="s">
        <v>1110</v>
      </c>
      <c r="D879" t="s">
        <v>1487</v>
      </c>
    </row>
    <row r="880" spans="1:4" ht="14.25" hidden="1" customHeight="1">
      <c r="A880" t="s">
        <v>1024</v>
      </c>
      <c r="B880">
        <v>87</v>
      </c>
      <c r="C880" t="s">
        <v>1111</v>
      </c>
      <c r="D880" t="s">
        <v>1488</v>
      </c>
    </row>
    <row r="881" spans="1:4" ht="14.25" hidden="1" customHeight="1">
      <c r="A881" t="s">
        <v>1024</v>
      </c>
      <c r="B881">
        <v>88</v>
      </c>
      <c r="C881" t="s">
        <v>1112</v>
      </c>
      <c r="D881" t="s">
        <v>1488</v>
      </c>
    </row>
    <row r="882" spans="1:4" ht="14.25" hidden="1" customHeight="1">
      <c r="A882" t="s">
        <v>1024</v>
      </c>
      <c r="B882">
        <v>89</v>
      </c>
      <c r="C882" t="s">
        <v>1113</v>
      </c>
      <c r="D882" t="s">
        <v>1488</v>
      </c>
    </row>
    <row r="883" spans="1:4" ht="14.25" hidden="1" customHeight="1">
      <c r="A883" t="s">
        <v>1024</v>
      </c>
      <c r="B883">
        <v>90</v>
      </c>
      <c r="C883" t="s">
        <v>1114</v>
      </c>
      <c r="D883" t="s">
        <v>1488</v>
      </c>
    </row>
    <row r="884" spans="1:4" ht="14.25" hidden="1" customHeight="1">
      <c r="A884" t="s">
        <v>1024</v>
      </c>
      <c r="B884">
        <v>91</v>
      </c>
      <c r="C884" t="s">
        <v>1115</v>
      </c>
      <c r="D884" t="s">
        <v>1488</v>
      </c>
    </row>
    <row r="885" spans="1:4" ht="14.25" hidden="1" customHeight="1">
      <c r="A885" t="s">
        <v>1024</v>
      </c>
      <c r="B885">
        <v>92</v>
      </c>
      <c r="C885" t="s">
        <v>1116</v>
      </c>
      <c r="D885" t="s">
        <v>1488</v>
      </c>
    </row>
    <row r="886" spans="1:4" ht="14.25" hidden="1" customHeight="1">
      <c r="A886" t="s">
        <v>1024</v>
      </c>
      <c r="B886">
        <v>93</v>
      </c>
      <c r="C886" t="s">
        <v>1117</v>
      </c>
      <c r="D886" t="s">
        <v>1488</v>
      </c>
    </row>
    <row r="887" spans="1:4" ht="14.25" hidden="1" customHeight="1">
      <c r="A887" t="s">
        <v>1024</v>
      </c>
      <c r="B887">
        <v>94</v>
      </c>
      <c r="C887" t="s">
        <v>1118</v>
      </c>
      <c r="D887" t="s">
        <v>1487</v>
      </c>
    </row>
    <row r="888" spans="1:4" ht="14.25" hidden="1" customHeight="1">
      <c r="A888" t="s">
        <v>1024</v>
      </c>
      <c r="B888">
        <v>95</v>
      </c>
      <c r="C888" t="s">
        <v>1119</v>
      </c>
      <c r="D888" t="s">
        <v>1488</v>
      </c>
    </row>
    <row r="889" spans="1:4" ht="14.25" hidden="1" customHeight="1">
      <c r="A889" t="s">
        <v>1024</v>
      </c>
      <c r="B889">
        <v>96</v>
      </c>
      <c r="C889" t="s">
        <v>1120</v>
      </c>
      <c r="D889" t="s">
        <v>1487</v>
      </c>
    </row>
    <row r="890" spans="1:4" ht="14.25" hidden="1" customHeight="1">
      <c r="A890" t="s">
        <v>1024</v>
      </c>
      <c r="B890">
        <v>97</v>
      </c>
      <c r="C890" t="s">
        <v>1121</v>
      </c>
      <c r="D890" t="s">
        <v>1488</v>
      </c>
    </row>
    <row r="891" spans="1:4" ht="14.25" hidden="1" customHeight="1">
      <c r="A891" t="s">
        <v>1024</v>
      </c>
      <c r="B891">
        <v>98</v>
      </c>
      <c r="C891" t="s">
        <v>1122</v>
      </c>
      <c r="D891" t="s">
        <v>1488</v>
      </c>
    </row>
    <row r="892" spans="1:4" ht="14.25" hidden="1" customHeight="1">
      <c r="A892" t="s">
        <v>1024</v>
      </c>
      <c r="B892">
        <v>99</v>
      </c>
      <c r="C892" t="s">
        <v>1123</v>
      </c>
      <c r="D892" t="s">
        <v>1488</v>
      </c>
    </row>
    <row r="893" spans="1:4" ht="14.25" hidden="1" customHeight="1">
      <c r="A893" t="s">
        <v>1024</v>
      </c>
      <c r="B893">
        <v>100</v>
      </c>
      <c r="C893" t="s">
        <v>1124</v>
      </c>
      <c r="D893" t="s">
        <v>1488</v>
      </c>
    </row>
    <row r="894" spans="1:4" ht="14.25" hidden="1" customHeight="1">
      <c r="A894" t="s">
        <v>1024</v>
      </c>
      <c r="B894">
        <v>101</v>
      </c>
      <c r="C894" t="s">
        <v>1125</v>
      </c>
      <c r="D894" t="s">
        <v>1488</v>
      </c>
    </row>
    <row r="895" spans="1:4" ht="14.25" hidden="1" customHeight="1">
      <c r="A895" t="s">
        <v>1024</v>
      </c>
      <c r="B895">
        <v>102</v>
      </c>
      <c r="C895" t="s">
        <v>1126</v>
      </c>
      <c r="D895" t="s">
        <v>1488</v>
      </c>
    </row>
    <row r="896" spans="1:4" ht="14.25" hidden="1" customHeight="1">
      <c r="A896" t="s">
        <v>1024</v>
      </c>
      <c r="B896">
        <v>103</v>
      </c>
      <c r="C896" t="s">
        <v>1127</v>
      </c>
      <c r="D896" t="s">
        <v>1488</v>
      </c>
    </row>
    <row r="897" spans="1:4" ht="14.25" hidden="1" customHeight="1">
      <c r="A897" t="s">
        <v>1024</v>
      </c>
      <c r="B897">
        <v>104</v>
      </c>
      <c r="C897" t="s">
        <v>1128</v>
      </c>
      <c r="D897" t="s">
        <v>1488</v>
      </c>
    </row>
    <row r="898" spans="1:4" ht="14.25" hidden="1" customHeight="1">
      <c r="A898" t="s">
        <v>1024</v>
      </c>
      <c r="B898">
        <v>105</v>
      </c>
      <c r="C898" t="s">
        <v>1129</v>
      </c>
      <c r="D898" t="s">
        <v>1487</v>
      </c>
    </row>
    <row r="899" spans="1:4" ht="14.25" hidden="1" customHeight="1">
      <c r="A899" t="s">
        <v>1024</v>
      </c>
      <c r="B899">
        <v>106</v>
      </c>
      <c r="C899" t="s">
        <v>1130</v>
      </c>
      <c r="D899" t="s">
        <v>1488</v>
      </c>
    </row>
    <row r="900" spans="1:4" ht="14.25" hidden="1" customHeight="1">
      <c r="A900" t="s">
        <v>1024</v>
      </c>
      <c r="B900">
        <v>107</v>
      </c>
      <c r="C900" t="s">
        <v>1131</v>
      </c>
      <c r="D900" t="s">
        <v>1488</v>
      </c>
    </row>
    <row r="901" spans="1:4" ht="14.25" hidden="1" customHeight="1">
      <c r="A901" t="s">
        <v>1024</v>
      </c>
      <c r="B901">
        <v>108</v>
      </c>
      <c r="C901" t="s">
        <v>1132</v>
      </c>
      <c r="D901" t="s">
        <v>1488</v>
      </c>
    </row>
    <row r="902" spans="1:4" ht="14.25" hidden="1" customHeight="1">
      <c r="A902" t="s">
        <v>1024</v>
      </c>
      <c r="B902">
        <v>109</v>
      </c>
      <c r="C902" t="s">
        <v>1133</v>
      </c>
      <c r="D902" t="s">
        <v>1488</v>
      </c>
    </row>
    <row r="903" spans="1:4" ht="14.25" hidden="1" customHeight="1">
      <c r="A903" t="s">
        <v>1024</v>
      </c>
      <c r="B903">
        <v>110</v>
      </c>
      <c r="C903" t="s">
        <v>1134</v>
      </c>
      <c r="D903" t="s">
        <v>1488</v>
      </c>
    </row>
    <row r="904" spans="1:4" ht="14.25" hidden="1" customHeight="1">
      <c r="A904" t="s">
        <v>1024</v>
      </c>
      <c r="B904">
        <v>111</v>
      </c>
      <c r="C904" t="s">
        <v>1135</v>
      </c>
      <c r="D904" t="s">
        <v>1487</v>
      </c>
    </row>
    <row r="905" spans="1:4" ht="14.25" hidden="1" customHeight="1">
      <c r="A905" t="s">
        <v>1024</v>
      </c>
      <c r="B905">
        <v>112</v>
      </c>
      <c r="C905" t="s">
        <v>1136</v>
      </c>
      <c r="D905" t="s">
        <v>1488</v>
      </c>
    </row>
    <row r="906" spans="1:4" ht="14.25" hidden="1" customHeight="1">
      <c r="A906" t="s">
        <v>1024</v>
      </c>
      <c r="B906">
        <v>113</v>
      </c>
      <c r="C906" t="s">
        <v>1137</v>
      </c>
      <c r="D906" t="s">
        <v>1487</v>
      </c>
    </row>
    <row r="907" spans="1:4" ht="14.25" hidden="1" customHeight="1">
      <c r="A907" t="s">
        <v>1024</v>
      </c>
      <c r="B907">
        <v>114</v>
      </c>
      <c r="C907" t="s">
        <v>1138</v>
      </c>
      <c r="D907" t="s">
        <v>1488</v>
      </c>
    </row>
    <row r="908" spans="1:4" ht="14.25" hidden="1" customHeight="1">
      <c r="A908" t="s">
        <v>1024</v>
      </c>
      <c r="B908">
        <v>115</v>
      </c>
      <c r="C908" t="s">
        <v>1139</v>
      </c>
      <c r="D908" t="s">
        <v>1488</v>
      </c>
    </row>
    <row r="909" spans="1:4" ht="14.25" hidden="1" customHeight="1">
      <c r="A909" t="s">
        <v>1024</v>
      </c>
      <c r="B909">
        <v>116</v>
      </c>
      <c r="C909" t="s">
        <v>1140</v>
      </c>
      <c r="D909" t="s">
        <v>1488</v>
      </c>
    </row>
    <row r="910" spans="1:4" ht="14.25" hidden="1" customHeight="1">
      <c r="A910" t="s">
        <v>1024</v>
      </c>
      <c r="B910">
        <v>117</v>
      </c>
      <c r="C910" t="s">
        <v>1141</v>
      </c>
      <c r="D910" t="s">
        <v>1488</v>
      </c>
    </row>
    <row r="911" spans="1:4" ht="14.25" hidden="1" customHeight="1">
      <c r="A911" t="s">
        <v>1024</v>
      </c>
      <c r="B911">
        <v>118</v>
      </c>
      <c r="C911" t="s">
        <v>1142</v>
      </c>
      <c r="D911" t="s">
        <v>1488</v>
      </c>
    </row>
    <row r="912" spans="1:4" ht="14.25" hidden="1" customHeight="1">
      <c r="A912" t="s">
        <v>1024</v>
      </c>
      <c r="B912">
        <v>119</v>
      </c>
      <c r="C912" t="s">
        <v>1143</v>
      </c>
      <c r="D912" t="s">
        <v>1488</v>
      </c>
    </row>
    <row r="913" spans="1:4" ht="14.25" hidden="1" customHeight="1">
      <c r="A913" t="s">
        <v>1024</v>
      </c>
      <c r="B913">
        <v>120</v>
      </c>
      <c r="C913" t="s">
        <v>1144</v>
      </c>
      <c r="D913" t="s">
        <v>1488</v>
      </c>
    </row>
    <row r="914" spans="1:4" ht="14.25" hidden="1" customHeight="1">
      <c r="A914" t="s">
        <v>1145</v>
      </c>
      <c r="B914">
        <v>1</v>
      </c>
      <c r="C914" t="s">
        <v>1146</v>
      </c>
      <c r="D914" t="s">
        <v>1488</v>
      </c>
    </row>
    <row r="915" spans="1:4" ht="14.25" hidden="1" customHeight="1">
      <c r="A915" t="s">
        <v>1145</v>
      </c>
      <c r="B915">
        <v>2</v>
      </c>
      <c r="C915" t="s">
        <v>1147</v>
      </c>
      <c r="D915" t="s">
        <v>1487</v>
      </c>
    </row>
    <row r="916" spans="1:4" ht="14.25" hidden="1" customHeight="1">
      <c r="A916" t="s">
        <v>1145</v>
      </c>
      <c r="B916">
        <v>3</v>
      </c>
      <c r="C916" t="s">
        <v>1148</v>
      </c>
      <c r="D916" t="s">
        <v>1488</v>
      </c>
    </row>
    <row r="917" spans="1:4" ht="14.25" hidden="1" customHeight="1">
      <c r="A917" t="s">
        <v>1145</v>
      </c>
      <c r="B917">
        <v>4</v>
      </c>
      <c r="C917" t="s">
        <v>1149</v>
      </c>
      <c r="D917" t="s">
        <v>1487</v>
      </c>
    </row>
    <row r="918" spans="1:4" ht="14.25" hidden="1" customHeight="1">
      <c r="A918" t="s">
        <v>1145</v>
      </c>
      <c r="B918">
        <v>5</v>
      </c>
      <c r="C918" t="s">
        <v>1150</v>
      </c>
      <c r="D918" t="s">
        <v>1487</v>
      </c>
    </row>
    <row r="919" spans="1:4" ht="14.25" hidden="1" customHeight="1">
      <c r="A919" t="s">
        <v>1145</v>
      </c>
      <c r="B919">
        <v>6</v>
      </c>
      <c r="C919" t="s">
        <v>1151</v>
      </c>
      <c r="D919" t="s">
        <v>1488</v>
      </c>
    </row>
    <row r="920" spans="1:4" ht="14.25" hidden="1" customHeight="1">
      <c r="A920" t="s">
        <v>1145</v>
      </c>
      <c r="B920">
        <v>7</v>
      </c>
      <c r="C920" t="s">
        <v>1152</v>
      </c>
      <c r="D920" t="s">
        <v>1488</v>
      </c>
    </row>
    <row r="921" spans="1:4" ht="14.25" hidden="1" customHeight="1">
      <c r="A921" t="s">
        <v>1145</v>
      </c>
      <c r="B921">
        <v>8</v>
      </c>
      <c r="C921" t="s">
        <v>1153</v>
      </c>
      <c r="D921" t="s">
        <v>1488</v>
      </c>
    </row>
    <row r="922" spans="1:4" ht="14.25" hidden="1" customHeight="1">
      <c r="A922" t="s">
        <v>1145</v>
      </c>
      <c r="B922">
        <v>9</v>
      </c>
      <c r="C922" t="s">
        <v>1154</v>
      </c>
      <c r="D922" t="s">
        <v>1488</v>
      </c>
    </row>
    <row r="923" spans="1:4" ht="14.25" hidden="1" customHeight="1">
      <c r="A923" t="s">
        <v>1145</v>
      </c>
      <c r="B923">
        <v>10</v>
      </c>
      <c r="C923" t="s">
        <v>1155</v>
      </c>
      <c r="D923" t="s">
        <v>1488</v>
      </c>
    </row>
    <row r="924" spans="1:4" ht="14.25" hidden="1" customHeight="1">
      <c r="A924" t="s">
        <v>1145</v>
      </c>
      <c r="B924">
        <v>11</v>
      </c>
      <c r="C924" t="s">
        <v>1156</v>
      </c>
      <c r="D924" t="s">
        <v>1488</v>
      </c>
    </row>
    <row r="925" spans="1:4" ht="14.25" hidden="1" customHeight="1">
      <c r="A925" t="s">
        <v>1145</v>
      </c>
      <c r="B925">
        <v>12</v>
      </c>
      <c r="C925" t="s">
        <v>1157</v>
      </c>
      <c r="D925" t="s">
        <v>1488</v>
      </c>
    </row>
    <row r="926" spans="1:4" ht="14.25" hidden="1" customHeight="1">
      <c r="A926" t="s">
        <v>1145</v>
      </c>
      <c r="B926">
        <v>13</v>
      </c>
      <c r="C926" t="s">
        <v>1158</v>
      </c>
      <c r="D926" t="s">
        <v>1487</v>
      </c>
    </row>
    <row r="927" spans="1:4" ht="14.25" hidden="1" customHeight="1">
      <c r="A927" t="s">
        <v>1145</v>
      </c>
      <c r="B927">
        <v>14</v>
      </c>
      <c r="C927" t="s">
        <v>1159</v>
      </c>
      <c r="D927" t="s">
        <v>1488</v>
      </c>
    </row>
    <row r="928" spans="1:4" ht="14.25" hidden="1" customHeight="1">
      <c r="A928" t="s">
        <v>1145</v>
      </c>
      <c r="B928">
        <v>15</v>
      </c>
      <c r="C928" t="s">
        <v>1160</v>
      </c>
      <c r="D928" t="s">
        <v>1488</v>
      </c>
    </row>
    <row r="929" spans="1:4" ht="14.25" hidden="1" customHeight="1">
      <c r="A929" t="s">
        <v>1145</v>
      </c>
      <c r="B929">
        <v>16</v>
      </c>
      <c r="C929" t="s">
        <v>1161</v>
      </c>
      <c r="D929" t="s">
        <v>1488</v>
      </c>
    </row>
    <row r="930" spans="1:4" ht="14.25" hidden="1" customHeight="1">
      <c r="A930" t="s">
        <v>1145</v>
      </c>
      <c r="B930">
        <v>17</v>
      </c>
      <c r="C930" t="s">
        <v>1162</v>
      </c>
      <c r="D930" t="s">
        <v>1488</v>
      </c>
    </row>
    <row r="931" spans="1:4" ht="14.25" hidden="1" customHeight="1">
      <c r="A931" t="s">
        <v>1145</v>
      </c>
      <c r="B931">
        <v>18</v>
      </c>
      <c r="C931" t="s">
        <v>1163</v>
      </c>
      <c r="D931" t="s">
        <v>1487</v>
      </c>
    </row>
    <row r="932" spans="1:4" ht="14.25" hidden="1" customHeight="1">
      <c r="A932" t="s">
        <v>1145</v>
      </c>
      <c r="B932">
        <v>19</v>
      </c>
      <c r="C932" t="s">
        <v>1164</v>
      </c>
      <c r="D932" t="s">
        <v>1487</v>
      </c>
    </row>
    <row r="933" spans="1:4" ht="14.25" hidden="1" customHeight="1">
      <c r="A933" t="s">
        <v>1145</v>
      </c>
      <c r="B933">
        <v>20</v>
      </c>
      <c r="C933" t="s">
        <v>1165</v>
      </c>
      <c r="D933" t="s">
        <v>1487</v>
      </c>
    </row>
    <row r="934" spans="1:4" ht="14.25" hidden="1" customHeight="1">
      <c r="A934" t="s">
        <v>1145</v>
      </c>
      <c r="B934">
        <v>21</v>
      </c>
      <c r="C934" t="s">
        <v>1166</v>
      </c>
      <c r="D934" t="s">
        <v>1487</v>
      </c>
    </row>
    <row r="935" spans="1:4" ht="14.25" hidden="1" customHeight="1">
      <c r="A935" t="s">
        <v>1145</v>
      </c>
      <c r="B935">
        <v>22</v>
      </c>
      <c r="C935" t="s">
        <v>1167</v>
      </c>
      <c r="D935" t="s">
        <v>1488</v>
      </c>
    </row>
    <row r="936" spans="1:4" ht="14.25" hidden="1" customHeight="1">
      <c r="A936" t="s">
        <v>1145</v>
      </c>
      <c r="B936">
        <v>23</v>
      </c>
      <c r="C936" t="s">
        <v>1168</v>
      </c>
      <c r="D936" t="s">
        <v>1488</v>
      </c>
    </row>
    <row r="937" spans="1:4" ht="14.25" hidden="1" customHeight="1">
      <c r="A937" t="s">
        <v>1145</v>
      </c>
      <c r="B937">
        <v>24</v>
      </c>
      <c r="C937" t="s">
        <v>1169</v>
      </c>
      <c r="D937" t="s">
        <v>1488</v>
      </c>
    </row>
    <row r="938" spans="1:4" ht="14.25" hidden="1" customHeight="1">
      <c r="A938" t="s">
        <v>1145</v>
      </c>
      <c r="B938">
        <v>25</v>
      </c>
      <c r="C938" t="s">
        <v>1170</v>
      </c>
      <c r="D938" t="s">
        <v>1487</v>
      </c>
    </row>
    <row r="939" spans="1:4" ht="14.25" hidden="1" customHeight="1">
      <c r="A939" t="s">
        <v>1145</v>
      </c>
      <c r="B939">
        <v>26</v>
      </c>
      <c r="C939" t="s">
        <v>1171</v>
      </c>
      <c r="D939" t="s">
        <v>1488</v>
      </c>
    </row>
    <row r="940" spans="1:4" ht="14.25" hidden="1" customHeight="1">
      <c r="A940" t="s">
        <v>1145</v>
      </c>
      <c r="B940">
        <v>27</v>
      </c>
      <c r="C940" t="s">
        <v>1172</v>
      </c>
      <c r="D940" t="s">
        <v>1487</v>
      </c>
    </row>
    <row r="941" spans="1:4" ht="14.25" hidden="1" customHeight="1">
      <c r="A941" t="s">
        <v>1145</v>
      </c>
      <c r="B941">
        <v>28</v>
      </c>
      <c r="C941" t="s">
        <v>1173</v>
      </c>
      <c r="D941" t="s">
        <v>1488</v>
      </c>
    </row>
    <row r="942" spans="1:4" ht="14.25" hidden="1" customHeight="1">
      <c r="A942" t="s">
        <v>1145</v>
      </c>
      <c r="B942">
        <v>29</v>
      </c>
      <c r="C942" t="s">
        <v>1174</v>
      </c>
      <c r="D942" t="s">
        <v>1488</v>
      </c>
    </row>
    <row r="943" spans="1:4" ht="14.25" hidden="1" customHeight="1">
      <c r="A943" t="s">
        <v>1145</v>
      </c>
      <c r="B943">
        <v>30</v>
      </c>
      <c r="C943" t="s">
        <v>1175</v>
      </c>
      <c r="D943" t="s">
        <v>1487</v>
      </c>
    </row>
    <row r="944" spans="1:4" ht="14.25" hidden="1" customHeight="1">
      <c r="A944" t="s">
        <v>1145</v>
      </c>
      <c r="B944">
        <v>31</v>
      </c>
      <c r="C944" t="s">
        <v>1176</v>
      </c>
      <c r="D944" t="s">
        <v>1487</v>
      </c>
    </row>
    <row r="945" spans="1:4" ht="14.25" hidden="1" customHeight="1">
      <c r="A945" t="s">
        <v>1145</v>
      </c>
      <c r="B945">
        <v>32</v>
      </c>
      <c r="C945" t="s">
        <v>1177</v>
      </c>
      <c r="D945" t="s">
        <v>1488</v>
      </c>
    </row>
    <row r="946" spans="1:4" ht="14.25" hidden="1" customHeight="1">
      <c r="A946" t="s">
        <v>1145</v>
      </c>
      <c r="B946">
        <v>33</v>
      </c>
      <c r="C946" t="s">
        <v>1178</v>
      </c>
      <c r="D946" t="s">
        <v>1487</v>
      </c>
    </row>
    <row r="947" spans="1:4" ht="14.25" hidden="1" customHeight="1">
      <c r="A947" t="s">
        <v>1145</v>
      </c>
      <c r="B947">
        <v>34</v>
      </c>
      <c r="C947" t="s">
        <v>1179</v>
      </c>
      <c r="D947" t="s">
        <v>1487</v>
      </c>
    </row>
    <row r="948" spans="1:4" ht="14.25" hidden="1" customHeight="1">
      <c r="A948" t="s">
        <v>1145</v>
      </c>
      <c r="B948">
        <v>35</v>
      </c>
      <c r="C948" t="s">
        <v>1180</v>
      </c>
      <c r="D948" t="s">
        <v>1487</v>
      </c>
    </row>
    <row r="949" spans="1:4" ht="14.25" hidden="1" customHeight="1">
      <c r="A949" t="s">
        <v>1145</v>
      </c>
      <c r="B949">
        <v>36</v>
      </c>
      <c r="C949" t="s">
        <v>1181</v>
      </c>
      <c r="D949" t="s">
        <v>1487</v>
      </c>
    </row>
    <row r="950" spans="1:4" ht="14.25" hidden="1" customHeight="1">
      <c r="A950" t="s">
        <v>1145</v>
      </c>
      <c r="B950">
        <v>37</v>
      </c>
      <c r="C950" t="s">
        <v>1182</v>
      </c>
      <c r="D950" t="s">
        <v>1488</v>
      </c>
    </row>
    <row r="951" spans="1:4" ht="14.25" hidden="1" customHeight="1">
      <c r="A951" t="s">
        <v>1145</v>
      </c>
      <c r="B951">
        <v>38</v>
      </c>
      <c r="C951" t="s">
        <v>1183</v>
      </c>
      <c r="D951" t="s">
        <v>1487</v>
      </c>
    </row>
    <row r="952" spans="1:4" ht="14.25" hidden="1" customHeight="1">
      <c r="A952" t="s">
        <v>1145</v>
      </c>
      <c r="B952">
        <v>39</v>
      </c>
      <c r="C952" t="s">
        <v>1184</v>
      </c>
      <c r="D952" t="s">
        <v>1487</v>
      </c>
    </row>
    <row r="953" spans="1:4" ht="14.25" hidden="1" customHeight="1">
      <c r="A953" t="s">
        <v>1145</v>
      </c>
      <c r="B953">
        <v>40</v>
      </c>
      <c r="C953" t="s">
        <v>1185</v>
      </c>
      <c r="D953" t="s">
        <v>1488</v>
      </c>
    </row>
    <row r="954" spans="1:4" ht="14.25" hidden="1" customHeight="1">
      <c r="A954" t="s">
        <v>1145</v>
      </c>
      <c r="B954">
        <v>41</v>
      </c>
      <c r="C954" t="s">
        <v>1186</v>
      </c>
      <c r="D954" t="s">
        <v>1501</v>
      </c>
    </row>
    <row r="955" spans="1:4" ht="14.25" hidden="1" customHeight="1">
      <c r="A955" t="s">
        <v>1145</v>
      </c>
      <c r="B955">
        <v>42</v>
      </c>
      <c r="C955" t="s">
        <v>1187</v>
      </c>
      <c r="D955" t="s">
        <v>1488</v>
      </c>
    </row>
    <row r="956" spans="1:4" ht="14.25" hidden="1" customHeight="1">
      <c r="A956" t="s">
        <v>1145</v>
      </c>
      <c r="B956">
        <v>43</v>
      </c>
      <c r="C956" t="s">
        <v>1188</v>
      </c>
      <c r="D956" t="s">
        <v>1487</v>
      </c>
    </row>
    <row r="957" spans="1:4" ht="14.25" hidden="1" customHeight="1">
      <c r="A957" t="s">
        <v>1145</v>
      </c>
      <c r="B957">
        <v>44</v>
      </c>
      <c r="C957" t="s">
        <v>1189</v>
      </c>
      <c r="D957" t="s">
        <v>1487</v>
      </c>
    </row>
    <row r="958" spans="1:4" ht="14.25" hidden="1" customHeight="1">
      <c r="A958" t="s">
        <v>1145</v>
      </c>
      <c r="B958">
        <v>45</v>
      </c>
      <c r="C958" t="s">
        <v>1190</v>
      </c>
      <c r="D958" t="s">
        <v>1488</v>
      </c>
    </row>
    <row r="959" spans="1:4" ht="14.25" hidden="1" customHeight="1">
      <c r="A959" t="s">
        <v>1145</v>
      </c>
      <c r="B959">
        <v>46</v>
      </c>
      <c r="C959" t="s">
        <v>1191</v>
      </c>
      <c r="D959" t="s">
        <v>1487</v>
      </c>
    </row>
    <row r="960" spans="1:4" ht="14.25" hidden="1" customHeight="1">
      <c r="A960" t="s">
        <v>1145</v>
      </c>
      <c r="B960">
        <v>47</v>
      </c>
      <c r="C960" t="s">
        <v>1192</v>
      </c>
      <c r="D960" t="s">
        <v>1487</v>
      </c>
    </row>
    <row r="961" spans="1:4" ht="14.25" hidden="1" customHeight="1">
      <c r="A961" t="s">
        <v>1145</v>
      </c>
      <c r="B961">
        <v>48</v>
      </c>
      <c r="C961" t="s">
        <v>1193</v>
      </c>
      <c r="D961" t="s">
        <v>1488</v>
      </c>
    </row>
    <row r="962" spans="1:4" ht="14.25" hidden="1" customHeight="1">
      <c r="A962" t="s">
        <v>1145</v>
      </c>
      <c r="B962">
        <v>49</v>
      </c>
      <c r="C962" t="s">
        <v>1194</v>
      </c>
      <c r="D962" t="s">
        <v>1487</v>
      </c>
    </row>
    <row r="963" spans="1:4" ht="14.25" hidden="1" customHeight="1">
      <c r="A963" t="s">
        <v>1145</v>
      </c>
      <c r="B963">
        <v>50</v>
      </c>
      <c r="C963" t="s">
        <v>1195</v>
      </c>
      <c r="D963" t="s">
        <v>1501</v>
      </c>
    </row>
    <row r="964" spans="1:4" ht="14.25" hidden="1" customHeight="1">
      <c r="A964" t="s">
        <v>1145</v>
      </c>
      <c r="B964">
        <v>51</v>
      </c>
      <c r="C964" t="s">
        <v>1196</v>
      </c>
      <c r="D964" t="s">
        <v>1488</v>
      </c>
    </row>
    <row r="965" spans="1:4" ht="14.25" hidden="1" customHeight="1">
      <c r="A965" t="s">
        <v>1145</v>
      </c>
      <c r="B965">
        <v>52</v>
      </c>
      <c r="C965" t="s">
        <v>1197</v>
      </c>
      <c r="D965" t="s">
        <v>1487</v>
      </c>
    </row>
    <row r="966" spans="1:4" ht="14.25" hidden="1" customHeight="1">
      <c r="A966" t="s">
        <v>1145</v>
      </c>
      <c r="B966">
        <v>53</v>
      </c>
      <c r="C966" t="s">
        <v>1198</v>
      </c>
      <c r="D966" t="s">
        <v>1487</v>
      </c>
    </row>
    <row r="967" spans="1:4" ht="14.25" hidden="1" customHeight="1">
      <c r="A967" t="s">
        <v>1145</v>
      </c>
      <c r="B967">
        <v>54</v>
      </c>
      <c r="C967" t="s">
        <v>1199</v>
      </c>
      <c r="D967" t="s">
        <v>1501</v>
      </c>
    </row>
    <row r="968" spans="1:4" ht="14.25" hidden="1" customHeight="1">
      <c r="A968" t="s">
        <v>1145</v>
      </c>
      <c r="B968">
        <v>55</v>
      </c>
      <c r="C968" t="s">
        <v>1200</v>
      </c>
      <c r="D968" t="s">
        <v>1487</v>
      </c>
    </row>
    <row r="969" spans="1:4" ht="14.25" hidden="1" customHeight="1">
      <c r="A969" t="s">
        <v>1145</v>
      </c>
      <c r="B969">
        <v>56</v>
      </c>
      <c r="C969" t="s">
        <v>1201</v>
      </c>
      <c r="D969" t="s">
        <v>1488</v>
      </c>
    </row>
    <row r="970" spans="1:4" ht="14.25" hidden="1" customHeight="1">
      <c r="A970" t="s">
        <v>1145</v>
      </c>
      <c r="B970">
        <v>57</v>
      </c>
      <c r="C970" t="s">
        <v>1202</v>
      </c>
      <c r="D970" t="s">
        <v>1488</v>
      </c>
    </row>
    <row r="971" spans="1:4" ht="14.25" hidden="1" customHeight="1">
      <c r="A971" t="s">
        <v>1145</v>
      </c>
      <c r="B971">
        <v>58</v>
      </c>
      <c r="C971" t="s">
        <v>1203</v>
      </c>
      <c r="D971" t="s">
        <v>1487</v>
      </c>
    </row>
    <row r="972" spans="1:4" ht="14.25" hidden="1" customHeight="1">
      <c r="A972" t="s">
        <v>1145</v>
      </c>
      <c r="B972">
        <v>59</v>
      </c>
      <c r="C972" t="s">
        <v>1204</v>
      </c>
      <c r="D972" t="s">
        <v>1488</v>
      </c>
    </row>
    <row r="973" spans="1:4" ht="14.25" hidden="1" customHeight="1">
      <c r="A973" t="s">
        <v>1145</v>
      </c>
      <c r="B973">
        <v>60</v>
      </c>
      <c r="C973" t="s">
        <v>1205</v>
      </c>
      <c r="D973" t="s">
        <v>1487</v>
      </c>
    </row>
    <row r="974" spans="1:4" ht="14.25" hidden="1" customHeight="1">
      <c r="A974" t="s">
        <v>1145</v>
      </c>
      <c r="B974">
        <v>61</v>
      </c>
      <c r="C974" t="s">
        <v>1206</v>
      </c>
      <c r="D974" t="s">
        <v>1487</v>
      </c>
    </row>
    <row r="975" spans="1:4" ht="14.25" hidden="1" customHeight="1">
      <c r="A975" t="s">
        <v>1145</v>
      </c>
      <c r="B975">
        <v>62</v>
      </c>
      <c r="C975" t="s">
        <v>1207</v>
      </c>
      <c r="D975" t="s">
        <v>1488</v>
      </c>
    </row>
    <row r="976" spans="1:4" ht="14.25" hidden="1" customHeight="1">
      <c r="A976" t="s">
        <v>1145</v>
      </c>
      <c r="B976">
        <v>63</v>
      </c>
      <c r="C976" t="s">
        <v>1208</v>
      </c>
      <c r="D976" t="s">
        <v>1488</v>
      </c>
    </row>
    <row r="977" spans="1:4" ht="14.25" hidden="1" customHeight="1">
      <c r="A977" t="s">
        <v>1145</v>
      </c>
      <c r="B977">
        <v>64</v>
      </c>
      <c r="C977" t="s">
        <v>1209</v>
      </c>
      <c r="D977" t="s">
        <v>1487</v>
      </c>
    </row>
    <row r="978" spans="1:4" ht="14.25" hidden="1" customHeight="1">
      <c r="A978" t="s">
        <v>1145</v>
      </c>
      <c r="B978">
        <v>65</v>
      </c>
      <c r="C978" t="s">
        <v>1210</v>
      </c>
      <c r="D978" t="s">
        <v>1488</v>
      </c>
    </row>
    <row r="979" spans="1:4" ht="14.25" hidden="1" customHeight="1">
      <c r="A979" t="s">
        <v>1145</v>
      </c>
      <c r="B979">
        <v>66</v>
      </c>
      <c r="C979" t="s">
        <v>1211</v>
      </c>
      <c r="D979" t="s">
        <v>1487</v>
      </c>
    </row>
    <row r="980" spans="1:4" ht="14.25" hidden="1" customHeight="1">
      <c r="A980" t="s">
        <v>1145</v>
      </c>
      <c r="B980">
        <v>67</v>
      </c>
      <c r="C980" t="s">
        <v>1212</v>
      </c>
      <c r="D980" t="s">
        <v>1487</v>
      </c>
    </row>
    <row r="981" spans="1:4" ht="14.25" hidden="1" customHeight="1">
      <c r="A981" t="s">
        <v>1145</v>
      </c>
      <c r="B981">
        <v>68</v>
      </c>
      <c r="C981" t="s">
        <v>1213</v>
      </c>
      <c r="D981" t="s">
        <v>1487</v>
      </c>
    </row>
    <row r="982" spans="1:4" ht="14.25" hidden="1" customHeight="1">
      <c r="A982" t="s">
        <v>1145</v>
      </c>
      <c r="B982">
        <v>69</v>
      </c>
      <c r="C982" t="s">
        <v>1214</v>
      </c>
      <c r="D982" t="s">
        <v>1487</v>
      </c>
    </row>
    <row r="983" spans="1:4" ht="14.25" hidden="1" customHeight="1">
      <c r="A983" t="s">
        <v>1145</v>
      </c>
      <c r="B983">
        <v>70</v>
      </c>
      <c r="C983" t="s">
        <v>1215</v>
      </c>
      <c r="D983" t="s">
        <v>1488</v>
      </c>
    </row>
    <row r="984" spans="1:4" ht="14.25" hidden="1" customHeight="1">
      <c r="A984" t="s">
        <v>1145</v>
      </c>
      <c r="B984">
        <v>71</v>
      </c>
      <c r="C984" t="s">
        <v>1216</v>
      </c>
      <c r="D984" t="s">
        <v>1487</v>
      </c>
    </row>
    <row r="985" spans="1:4" ht="14.25" hidden="1" customHeight="1">
      <c r="A985" t="s">
        <v>1145</v>
      </c>
      <c r="B985">
        <v>72</v>
      </c>
      <c r="C985" t="s">
        <v>1217</v>
      </c>
      <c r="D985" t="s">
        <v>1487</v>
      </c>
    </row>
    <row r="986" spans="1:4" ht="14.25" hidden="1" customHeight="1">
      <c r="A986" t="s">
        <v>1145</v>
      </c>
      <c r="B986">
        <v>73</v>
      </c>
      <c r="C986" t="s">
        <v>1218</v>
      </c>
      <c r="D986" t="s">
        <v>1488</v>
      </c>
    </row>
    <row r="987" spans="1:4" ht="14.25" hidden="1" customHeight="1">
      <c r="A987" t="s">
        <v>1145</v>
      </c>
      <c r="B987">
        <v>74</v>
      </c>
      <c r="C987" t="s">
        <v>1219</v>
      </c>
      <c r="D987" t="s">
        <v>1487</v>
      </c>
    </row>
    <row r="988" spans="1:4" ht="14.25" hidden="1" customHeight="1">
      <c r="A988" t="s">
        <v>1145</v>
      </c>
      <c r="B988">
        <v>75</v>
      </c>
      <c r="C988" t="s">
        <v>1220</v>
      </c>
      <c r="D988" t="s">
        <v>1488</v>
      </c>
    </row>
    <row r="989" spans="1:4" ht="14.25" hidden="1" customHeight="1">
      <c r="A989" t="s">
        <v>1145</v>
      </c>
      <c r="B989">
        <v>76</v>
      </c>
      <c r="C989" t="s">
        <v>1221</v>
      </c>
      <c r="D989" t="s">
        <v>1488</v>
      </c>
    </row>
    <row r="990" spans="1:4" ht="14.25" hidden="1" customHeight="1">
      <c r="A990" t="s">
        <v>1145</v>
      </c>
      <c r="B990">
        <v>77</v>
      </c>
      <c r="C990" t="s">
        <v>1222</v>
      </c>
      <c r="D990" t="s">
        <v>1487</v>
      </c>
    </row>
    <row r="991" spans="1:4" ht="14.25" hidden="1" customHeight="1">
      <c r="A991" t="s">
        <v>1145</v>
      </c>
      <c r="B991">
        <v>78</v>
      </c>
      <c r="C991" t="s">
        <v>1223</v>
      </c>
      <c r="D991" t="s">
        <v>1487</v>
      </c>
    </row>
    <row r="992" spans="1:4" ht="14.25" hidden="1" customHeight="1">
      <c r="A992" t="s">
        <v>1145</v>
      </c>
      <c r="B992">
        <v>79</v>
      </c>
      <c r="C992" t="s">
        <v>1224</v>
      </c>
      <c r="D992" t="s">
        <v>1487</v>
      </c>
    </row>
    <row r="993" spans="1:4" ht="14.25" hidden="1" customHeight="1">
      <c r="A993" t="s">
        <v>1145</v>
      </c>
      <c r="B993">
        <v>80</v>
      </c>
      <c r="C993" t="s">
        <v>1225</v>
      </c>
      <c r="D993" t="s">
        <v>1488</v>
      </c>
    </row>
    <row r="994" spans="1:4" ht="14.25" hidden="1" customHeight="1">
      <c r="A994" t="s">
        <v>1145</v>
      </c>
      <c r="B994">
        <v>81</v>
      </c>
      <c r="C994" t="s">
        <v>1226</v>
      </c>
      <c r="D994" t="s">
        <v>1488</v>
      </c>
    </row>
    <row r="995" spans="1:4" ht="14.25" hidden="1" customHeight="1">
      <c r="A995" t="s">
        <v>1145</v>
      </c>
      <c r="B995">
        <v>82</v>
      </c>
      <c r="C995" t="s">
        <v>1227</v>
      </c>
      <c r="D995" t="s">
        <v>1488</v>
      </c>
    </row>
    <row r="996" spans="1:4" ht="14.25" hidden="1" customHeight="1">
      <c r="A996" t="s">
        <v>1145</v>
      </c>
      <c r="B996">
        <v>83</v>
      </c>
      <c r="C996" t="s">
        <v>1228</v>
      </c>
      <c r="D996" t="s">
        <v>1487</v>
      </c>
    </row>
    <row r="997" spans="1:4" ht="14.25" hidden="1" customHeight="1">
      <c r="A997" t="s">
        <v>1145</v>
      </c>
      <c r="B997">
        <v>84</v>
      </c>
      <c r="C997" t="s">
        <v>1229</v>
      </c>
      <c r="D997" t="s">
        <v>1487</v>
      </c>
    </row>
    <row r="998" spans="1:4" ht="14.25" hidden="1" customHeight="1">
      <c r="A998" t="s">
        <v>1145</v>
      </c>
      <c r="B998">
        <v>85</v>
      </c>
      <c r="C998" t="s">
        <v>1230</v>
      </c>
      <c r="D998" t="s">
        <v>1487</v>
      </c>
    </row>
    <row r="999" spans="1:4" ht="14.25" hidden="1" customHeight="1">
      <c r="A999" t="s">
        <v>1145</v>
      </c>
      <c r="B999">
        <v>86</v>
      </c>
      <c r="C999" t="s">
        <v>1231</v>
      </c>
      <c r="D999" t="s">
        <v>1487</v>
      </c>
    </row>
    <row r="1000" spans="1:4" ht="14.25" hidden="1" customHeight="1">
      <c r="A1000" t="s">
        <v>1145</v>
      </c>
      <c r="B1000">
        <v>87</v>
      </c>
      <c r="C1000" t="s">
        <v>1232</v>
      </c>
      <c r="D1000" t="s">
        <v>1487</v>
      </c>
    </row>
    <row r="1001" spans="1:4" ht="14.25" hidden="1" customHeight="1">
      <c r="A1001" t="s">
        <v>1145</v>
      </c>
      <c r="B1001">
        <v>88</v>
      </c>
      <c r="C1001" t="s">
        <v>1233</v>
      </c>
      <c r="D1001" t="s">
        <v>1488</v>
      </c>
    </row>
    <row r="1002" spans="1:4" ht="14.25" hidden="1" customHeight="1">
      <c r="A1002" t="s">
        <v>1145</v>
      </c>
      <c r="B1002">
        <v>89</v>
      </c>
      <c r="C1002" t="s">
        <v>1234</v>
      </c>
      <c r="D1002" t="s">
        <v>1487</v>
      </c>
    </row>
    <row r="1003" spans="1:4" ht="14.25" hidden="1" customHeight="1">
      <c r="A1003" t="s">
        <v>1145</v>
      </c>
      <c r="B1003">
        <v>90</v>
      </c>
      <c r="C1003" t="s">
        <v>1235</v>
      </c>
      <c r="D1003" t="s">
        <v>1487</v>
      </c>
    </row>
    <row r="1004" spans="1:4" ht="14.25" hidden="1" customHeight="1">
      <c r="A1004" t="s">
        <v>1145</v>
      </c>
      <c r="B1004">
        <v>91</v>
      </c>
      <c r="C1004" t="s">
        <v>1236</v>
      </c>
      <c r="D1004" t="s">
        <v>1488</v>
      </c>
    </row>
    <row r="1005" spans="1:4" ht="14.25" hidden="1" customHeight="1">
      <c r="A1005" t="s">
        <v>1145</v>
      </c>
      <c r="B1005">
        <v>92</v>
      </c>
      <c r="C1005" t="s">
        <v>1237</v>
      </c>
      <c r="D1005" t="s">
        <v>1488</v>
      </c>
    </row>
    <row r="1006" spans="1:4" ht="14.25" hidden="1" customHeight="1">
      <c r="A1006" t="s">
        <v>1145</v>
      </c>
      <c r="B1006">
        <v>93</v>
      </c>
      <c r="C1006" t="s">
        <v>1238</v>
      </c>
      <c r="D1006" t="s">
        <v>1501</v>
      </c>
    </row>
    <row r="1007" spans="1:4" ht="14.25" hidden="1" customHeight="1">
      <c r="A1007" t="s">
        <v>1145</v>
      </c>
      <c r="B1007">
        <v>94</v>
      </c>
      <c r="C1007" t="s">
        <v>1239</v>
      </c>
      <c r="D1007" t="s">
        <v>1488</v>
      </c>
    </row>
    <row r="1008" spans="1:4" ht="14.25" hidden="1" customHeight="1">
      <c r="A1008" t="s">
        <v>1145</v>
      </c>
      <c r="B1008">
        <v>95</v>
      </c>
      <c r="C1008" t="s">
        <v>1240</v>
      </c>
      <c r="D1008" t="s">
        <v>1487</v>
      </c>
    </row>
    <row r="1009" spans="1:4" ht="14.25" hidden="1" customHeight="1">
      <c r="A1009" t="s">
        <v>1145</v>
      </c>
      <c r="B1009">
        <v>96</v>
      </c>
      <c r="C1009" t="s">
        <v>1241</v>
      </c>
      <c r="D1009" t="s">
        <v>1488</v>
      </c>
    </row>
    <row r="1010" spans="1:4" ht="14.25" hidden="1" customHeight="1">
      <c r="A1010" t="s">
        <v>1145</v>
      </c>
      <c r="B1010">
        <v>97</v>
      </c>
      <c r="C1010" t="s">
        <v>1242</v>
      </c>
      <c r="D1010" t="s">
        <v>1487</v>
      </c>
    </row>
    <row r="1011" spans="1:4" ht="14.25" hidden="1" customHeight="1">
      <c r="A1011" t="s">
        <v>1145</v>
      </c>
      <c r="B1011">
        <v>98</v>
      </c>
      <c r="C1011" t="s">
        <v>1502</v>
      </c>
      <c r="D1011" t="s">
        <v>1487</v>
      </c>
    </row>
    <row r="1012" spans="1:4" ht="14.25" hidden="1" customHeight="1">
      <c r="A1012" t="s">
        <v>1145</v>
      </c>
      <c r="B1012">
        <v>99</v>
      </c>
      <c r="C1012" t="s">
        <v>1244</v>
      </c>
      <c r="D1012" t="s">
        <v>1488</v>
      </c>
    </row>
    <row r="1013" spans="1:4" ht="14.25" hidden="1" customHeight="1">
      <c r="A1013" t="s">
        <v>1145</v>
      </c>
      <c r="B1013">
        <v>100</v>
      </c>
      <c r="C1013" t="s">
        <v>1245</v>
      </c>
      <c r="D1013" t="s">
        <v>1488</v>
      </c>
    </row>
    <row r="1014" spans="1:4" ht="14.25" hidden="1" customHeight="1">
      <c r="A1014" t="s">
        <v>1145</v>
      </c>
      <c r="B1014">
        <v>101</v>
      </c>
      <c r="C1014" t="s">
        <v>1246</v>
      </c>
      <c r="D1014" t="s">
        <v>1488</v>
      </c>
    </row>
    <row r="1015" spans="1:4" ht="14.25" hidden="1" customHeight="1">
      <c r="A1015" t="s">
        <v>1145</v>
      </c>
      <c r="B1015">
        <v>102</v>
      </c>
      <c r="C1015" t="s">
        <v>1247</v>
      </c>
      <c r="D1015" t="s">
        <v>1487</v>
      </c>
    </row>
    <row r="1016" spans="1:4" ht="14.25" hidden="1" customHeight="1">
      <c r="A1016" t="s">
        <v>1145</v>
      </c>
      <c r="B1016">
        <v>103</v>
      </c>
      <c r="C1016" t="s">
        <v>1248</v>
      </c>
      <c r="D1016" t="s">
        <v>1487</v>
      </c>
    </row>
    <row r="1017" spans="1:4" ht="14.25" hidden="1" customHeight="1">
      <c r="A1017" t="s">
        <v>1145</v>
      </c>
      <c r="B1017">
        <v>104</v>
      </c>
      <c r="C1017" t="s">
        <v>1249</v>
      </c>
      <c r="D1017" t="s">
        <v>1487</v>
      </c>
    </row>
    <row r="1018" spans="1:4" ht="14.25" hidden="1" customHeight="1">
      <c r="A1018" t="s">
        <v>1145</v>
      </c>
      <c r="B1018">
        <v>105</v>
      </c>
      <c r="C1018" t="s">
        <v>1250</v>
      </c>
      <c r="D1018" t="s">
        <v>1487</v>
      </c>
    </row>
    <row r="1019" spans="1:4" ht="14.25" hidden="1" customHeight="1">
      <c r="A1019" t="s">
        <v>1145</v>
      </c>
      <c r="B1019">
        <v>106</v>
      </c>
      <c r="C1019" t="s">
        <v>1251</v>
      </c>
      <c r="D1019" t="s">
        <v>1487</v>
      </c>
    </row>
    <row r="1020" spans="1:4" ht="14.25" hidden="1" customHeight="1">
      <c r="A1020" t="s">
        <v>1145</v>
      </c>
      <c r="B1020">
        <v>107</v>
      </c>
      <c r="C1020" t="s">
        <v>1252</v>
      </c>
      <c r="D1020" t="s">
        <v>1487</v>
      </c>
    </row>
    <row r="1021" spans="1:4" ht="14.25" hidden="1" customHeight="1">
      <c r="A1021" t="s">
        <v>1145</v>
      </c>
      <c r="B1021">
        <v>108</v>
      </c>
      <c r="C1021" t="s">
        <v>1253</v>
      </c>
      <c r="D1021" t="s">
        <v>1487</v>
      </c>
    </row>
    <row r="1022" spans="1:4" ht="14.25" hidden="1" customHeight="1">
      <c r="A1022" t="s">
        <v>1145</v>
      </c>
      <c r="B1022">
        <v>109</v>
      </c>
      <c r="C1022" t="s">
        <v>1254</v>
      </c>
      <c r="D1022" t="s">
        <v>1488</v>
      </c>
    </row>
    <row r="1023" spans="1:4" ht="14.25" hidden="1" customHeight="1">
      <c r="A1023" t="s">
        <v>1145</v>
      </c>
      <c r="B1023">
        <v>110</v>
      </c>
      <c r="C1023" t="s">
        <v>1255</v>
      </c>
      <c r="D1023" t="s">
        <v>1487</v>
      </c>
    </row>
    <row r="1024" spans="1:4" ht="14.25" hidden="1" customHeight="1">
      <c r="A1024" t="s">
        <v>1145</v>
      </c>
      <c r="B1024">
        <v>111</v>
      </c>
      <c r="C1024" t="s">
        <v>1256</v>
      </c>
      <c r="D1024" t="s">
        <v>1488</v>
      </c>
    </row>
    <row r="1025" spans="1:4" ht="14.25" hidden="1" customHeight="1">
      <c r="A1025" t="s">
        <v>1145</v>
      </c>
      <c r="B1025">
        <v>112</v>
      </c>
      <c r="C1025" t="s">
        <v>1257</v>
      </c>
      <c r="D1025" t="s">
        <v>1487</v>
      </c>
    </row>
    <row r="1026" spans="1:4" ht="14.25" hidden="1" customHeight="1">
      <c r="A1026" t="s">
        <v>1145</v>
      </c>
      <c r="B1026">
        <v>113</v>
      </c>
      <c r="C1026" t="s">
        <v>1258</v>
      </c>
      <c r="D1026" t="s">
        <v>1488</v>
      </c>
    </row>
    <row r="1027" spans="1:4" ht="14.25" hidden="1" customHeight="1">
      <c r="A1027" t="s">
        <v>1145</v>
      </c>
      <c r="B1027">
        <v>114</v>
      </c>
      <c r="C1027" t="s">
        <v>1259</v>
      </c>
      <c r="D1027" t="s">
        <v>1487</v>
      </c>
    </row>
    <row r="1028" spans="1:4" ht="14.25" hidden="1" customHeight="1">
      <c r="A1028" t="s">
        <v>1145</v>
      </c>
      <c r="B1028">
        <v>115</v>
      </c>
      <c r="C1028" t="s">
        <v>1260</v>
      </c>
      <c r="D1028" t="s">
        <v>1487</v>
      </c>
    </row>
    <row r="1029" spans="1:4" ht="14.25" hidden="1" customHeight="1">
      <c r="A1029" t="s">
        <v>1145</v>
      </c>
      <c r="B1029">
        <v>116</v>
      </c>
      <c r="C1029" t="s">
        <v>1261</v>
      </c>
      <c r="D1029" t="s">
        <v>1487</v>
      </c>
    </row>
    <row r="1030" spans="1:4" ht="14.25" hidden="1" customHeight="1">
      <c r="A1030" t="s">
        <v>1145</v>
      </c>
      <c r="B1030">
        <v>117</v>
      </c>
      <c r="C1030" t="s">
        <v>1262</v>
      </c>
      <c r="D1030" t="s">
        <v>1487</v>
      </c>
    </row>
    <row r="1031" spans="1:4" ht="14.25" hidden="1" customHeight="1">
      <c r="A1031" t="s">
        <v>1145</v>
      </c>
      <c r="B1031">
        <v>118</v>
      </c>
      <c r="C1031" t="s">
        <v>1263</v>
      </c>
      <c r="D1031" t="s">
        <v>1488</v>
      </c>
    </row>
    <row r="1032" spans="1:4" ht="14.25" hidden="1" customHeight="1">
      <c r="A1032" t="s">
        <v>1349</v>
      </c>
      <c r="B1032">
        <v>1</v>
      </c>
      <c r="C1032" t="s">
        <v>1350</v>
      </c>
      <c r="D1032" t="s">
        <v>1488</v>
      </c>
    </row>
    <row r="1033" spans="1:4" ht="14.25" hidden="1" customHeight="1">
      <c r="A1033" t="s">
        <v>1349</v>
      </c>
      <c r="B1033">
        <v>2</v>
      </c>
      <c r="C1033" t="s">
        <v>1351</v>
      </c>
      <c r="D1033" t="s">
        <v>1488</v>
      </c>
    </row>
    <row r="1034" spans="1:4" ht="14.25" hidden="1" customHeight="1">
      <c r="A1034" t="s">
        <v>1349</v>
      </c>
      <c r="B1034">
        <v>3</v>
      </c>
      <c r="C1034" t="s">
        <v>1352</v>
      </c>
      <c r="D1034" t="s">
        <v>1488</v>
      </c>
    </row>
    <row r="1035" spans="1:4" ht="14.25" hidden="1" customHeight="1">
      <c r="A1035" t="s">
        <v>1349</v>
      </c>
      <c r="B1035">
        <v>4</v>
      </c>
      <c r="C1035" t="s">
        <v>1353</v>
      </c>
      <c r="D1035" t="s">
        <v>1488</v>
      </c>
    </row>
    <row r="1036" spans="1:4" ht="14.25" hidden="1" customHeight="1">
      <c r="A1036" t="s">
        <v>1349</v>
      </c>
      <c r="B1036">
        <v>5</v>
      </c>
      <c r="C1036" t="s">
        <v>1354</v>
      </c>
      <c r="D1036" t="s">
        <v>1488</v>
      </c>
    </row>
    <row r="1037" spans="1:4" ht="14.25" hidden="1" customHeight="1">
      <c r="A1037" t="s">
        <v>1349</v>
      </c>
      <c r="B1037">
        <v>6</v>
      </c>
      <c r="C1037" t="s">
        <v>1355</v>
      </c>
      <c r="D1037" t="s">
        <v>1488</v>
      </c>
    </row>
    <row r="1038" spans="1:4" ht="14.25" hidden="1" customHeight="1">
      <c r="A1038" t="s">
        <v>1349</v>
      </c>
      <c r="B1038">
        <v>7</v>
      </c>
      <c r="C1038" t="s">
        <v>1356</v>
      </c>
      <c r="D1038" t="s">
        <v>1488</v>
      </c>
    </row>
    <row r="1039" spans="1:4" ht="14.25" hidden="1" customHeight="1">
      <c r="A1039" t="s">
        <v>1349</v>
      </c>
      <c r="B1039">
        <v>8</v>
      </c>
      <c r="C1039" t="s">
        <v>1357</v>
      </c>
      <c r="D1039" t="s">
        <v>1488</v>
      </c>
    </row>
    <row r="1040" spans="1:4" ht="14.25" hidden="1" customHeight="1">
      <c r="A1040" t="s">
        <v>1349</v>
      </c>
      <c r="B1040">
        <v>9</v>
      </c>
      <c r="C1040" t="s">
        <v>1358</v>
      </c>
      <c r="D1040" t="s">
        <v>1488</v>
      </c>
    </row>
    <row r="1041" spans="1:4" ht="14.25" hidden="1" customHeight="1">
      <c r="A1041" t="s">
        <v>1349</v>
      </c>
      <c r="B1041">
        <v>10</v>
      </c>
      <c r="C1041" t="s">
        <v>1359</v>
      </c>
      <c r="D1041" t="s">
        <v>1488</v>
      </c>
    </row>
    <row r="1042" spans="1:4" ht="14.25" hidden="1" customHeight="1">
      <c r="A1042" t="s">
        <v>1349</v>
      </c>
      <c r="B1042">
        <v>11</v>
      </c>
      <c r="C1042" t="s">
        <v>1360</v>
      </c>
      <c r="D1042" t="s">
        <v>1488</v>
      </c>
    </row>
    <row r="1043" spans="1:4" ht="14.25" hidden="1" customHeight="1">
      <c r="A1043" t="s">
        <v>1349</v>
      </c>
      <c r="B1043">
        <v>12</v>
      </c>
      <c r="C1043" t="s">
        <v>1361</v>
      </c>
      <c r="D1043" t="s">
        <v>1488</v>
      </c>
    </row>
    <row r="1044" spans="1:4" ht="14.25" hidden="1" customHeight="1">
      <c r="A1044" t="s">
        <v>1349</v>
      </c>
      <c r="B1044">
        <v>13</v>
      </c>
      <c r="C1044" t="s">
        <v>1362</v>
      </c>
      <c r="D1044" t="s">
        <v>1488</v>
      </c>
    </row>
    <row r="1045" spans="1:4" ht="14.25" hidden="1" customHeight="1">
      <c r="A1045" t="s">
        <v>1349</v>
      </c>
      <c r="B1045">
        <v>14</v>
      </c>
      <c r="C1045" t="s">
        <v>1363</v>
      </c>
      <c r="D1045" t="s">
        <v>1488</v>
      </c>
    </row>
    <row r="1046" spans="1:4" ht="14.25" hidden="1" customHeight="1">
      <c r="A1046" t="s">
        <v>1349</v>
      </c>
      <c r="B1046">
        <v>15</v>
      </c>
      <c r="C1046" t="s">
        <v>1364</v>
      </c>
      <c r="D1046" t="s">
        <v>1488</v>
      </c>
    </row>
    <row r="1047" spans="1:4" ht="14.25" hidden="1" customHeight="1">
      <c r="A1047" t="s">
        <v>1349</v>
      </c>
      <c r="B1047">
        <v>16</v>
      </c>
      <c r="C1047" t="s">
        <v>1365</v>
      </c>
      <c r="D1047" t="s">
        <v>1488</v>
      </c>
    </row>
    <row r="1048" spans="1:4" ht="14.25" hidden="1" customHeight="1">
      <c r="A1048" t="s">
        <v>1349</v>
      </c>
      <c r="B1048">
        <v>17</v>
      </c>
      <c r="C1048" t="s">
        <v>1366</v>
      </c>
      <c r="D1048" t="s">
        <v>1488</v>
      </c>
    </row>
    <row r="1049" spans="1:4" ht="14.25" hidden="1" customHeight="1">
      <c r="A1049" t="s">
        <v>1349</v>
      </c>
      <c r="B1049">
        <v>18</v>
      </c>
      <c r="C1049" t="s">
        <v>1367</v>
      </c>
      <c r="D1049" t="s">
        <v>1488</v>
      </c>
    </row>
    <row r="1050" spans="1:4" ht="14.25" hidden="1" customHeight="1">
      <c r="A1050" t="s">
        <v>1349</v>
      </c>
      <c r="B1050">
        <v>19</v>
      </c>
      <c r="C1050" t="s">
        <v>1368</v>
      </c>
      <c r="D1050" t="s">
        <v>1488</v>
      </c>
    </row>
    <row r="1051" spans="1:4" ht="14.25" hidden="1" customHeight="1">
      <c r="A1051" t="s">
        <v>1349</v>
      </c>
      <c r="B1051">
        <v>20</v>
      </c>
      <c r="C1051" t="s">
        <v>1369</v>
      </c>
      <c r="D1051" t="s">
        <v>1488</v>
      </c>
    </row>
    <row r="1052" spans="1:4" ht="14.25" hidden="1" customHeight="1">
      <c r="A1052" t="s">
        <v>1349</v>
      </c>
      <c r="B1052">
        <v>21</v>
      </c>
      <c r="C1052" t="s">
        <v>1370</v>
      </c>
      <c r="D1052" t="s">
        <v>1488</v>
      </c>
    </row>
    <row r="1053" spans="1:4" ht="14.25" hidden="1" customHeight="1">
      <c r="A1053" t="s">
        <v>1349</v>
      </c>
      <c r="B1053">
        <v>22</v>
      </c>
      <c r="C1053" t="s">
        <v>1371</v>
      </c>
      <c r="D1053" t="s">
        <v>1488</v>
      </c>
    </row>
    <row r="1054" spans="1:4" ht="14.25" hidden="1" customHeight="1">
      <c r="A1054" t="s">
        <v>1349</v>
      </c>
      <c r="B1054">
        <v>23</v>
      </c>
      <c r="C1054" t="s">
        <v>1372</v>
      </c>
      <c r="D1054" t="s">
        <v>1488</v>
      </c>
    </row>
    <row r="1055" spans="1:4" ht="14.25" hidden="1" customHeight="1">
      <c r="A1055" t="s">
        <v>1349</v>
      </c>
      <c r="B1055">
        <v>24</v>
      </c>
      <c r="C1055" t="s">
        <v>1373</v>
      </c>
      <c r="D1055" t="s">
        <v>1488</v>
      </c>
    </row>
    <row r="1056" spans="1:4" ht="14.25" hidden="1" customHeight="1">
      <c r="A1056" t="s">
        <v>1349</v>
      </c>
      <c r="B1056">
        <v>25</v>
      </c>
      <c r="C1056" t="s">
        <v>1374</v>
      </c>
      <c r="D1056" t="s">
        <v>1488</v>
      </c>
    </row>
    <row r="1057" spans="1:4" ht="14.25" hidden="1" customHeight="1">
      <c r="A1057" t="s">
        <v>1349</v>
      </c>
      <c r="B1057">
        <v>26</v>
      </c>
      <c r="C1057" t="s">
        <v>1375</v>
      </c>
      <c r="D1057" t="s">
        <v>1488</v>
      </c>
    </row>
    <row r="1058" spans="1:4" ht="14.25" hidden="1" customHeight="1">
      <c r="A1058" t="s">
        <v>1349</v>
      </c>
      <c r="B1058">
        <v>27</v>
      </c>
      <c r="C1058" t="s">
        <v>1376</v>
      </c>
      <c r="D1058" t="s">
        <v>1488</v>
      </c>
    </row>
    <row r="1059" spans="1:4" ht="14.25" hidden="1" customHeight="1">
      <c r="A1059" t="s">
        <v>1349</v>
      </c>
      <c r="B1059">
        <v>28</v>
      </c>
      <c r="C1059" t="s">
        <v>1377</v>
      </c>
      <c r="D1059" t="s">
        <v>1488</v>
      </c>
    </row>
    <row r="1060" spans="1:4" ht="14.25" hidden="1" customHeight="1">
      <c r="A1060" t="s">
        <v>1349</v>
      </c>
      <c r="B1060">
        <v>29</v>
      </c>
      <c r="C1060" t="s">
        <v>1378</v>
      </c>
      <c r="D1060" t="s">
        <v>1488</v>
      </c>
    </row>
    <row r="1061" spans="1:4" ht="14.25" hidden="1" customHeight="1">
      <c r="A1061" t="s">
        <v>1349</v>
      </c>
      <c r="B1061">
        <v>30</v>
      </c>
      <c r="C1061" t="s">
        <v>1379</v>
      </c>
      <c r="D1061" t="s">
        <v>1488</v>
      </c>
    </row>
    <row r="1062" spans="1:4" ht="14.25" hidden="1" customHeight="1">
      <c r="A1062" t="s">
        <v>1349</v>
      </c>
      <c r="B1062">
        <v>31</v>
      </c>
      <c r="C1062" t="s">
        <v>1380</v>
      </c>
      <c r="D1062" t="s">
        <v>1488</v>
      </c>
    </row>
    <row r="1063" spans="1:4" ht="14.25" hidden="1" customHeight="1">
      <c r="A1063" t="s">
        <v>1349</v>
      </c>
      <c r="B1063">
        <v>32</v>
      </c>
      <c r="C1063" t="s">
        <v>1381</v>
      </c>
      <c r="D1063" t="s">
        <v>1488</v>
      </c>
    </row>
    <row r="1064" spans="1:4" ht="14.25" hidden="1" customHeight="1">
      <c r="A1064" t="s">
        <v>1349</v>
      </c>
      <c r="B1064">
        <v>33</v>
      </c>
      <c r="C1064" t="s">
        <v>1382</v>
      </c>
      <c r="D1064" t="s">
        <v>1488</v>
      </c>
    </row>
    <row r="1065" spans="1:4" ht="14.25" hidden="1" customHeight="1">
      <c r="A1065" t="s">
        <v>1349</v>
      </c>
      <c r="B1065">
        <v>34</v>
      </c>
      <c r="C1065" t="s">
        <v>1383</v>
      </c>
      <c r="D1065" t="s">
        <v>1488</v>
      </c>
    </row>
    <row r="1066" spans="1:4" ht="14.25" hidden="1" customHeight="1">
      <c r="A1066" t="s">
        <v>1349</v>
      </c>
      <c r="B1066">
        <v>35</v>
      </c>
      <c r="C1066" t="s">
        <v>1384</v>
      </c>
      <c r="D1066" t="s">
        <v>1488</v>
      </c>
    </row>
    <row r="1067" spans="1:4" ht="14.25" hidden="1" customHeight="1">
      <c r="A1067" t="s">
        <v>1349</v>
      </c>
      <c r="B1067">
        <v>36</v>
      </c>
      <c r="C1067" t="s">
        <v>1385</v>
      </c>
      <c r="D1067" t="s">
        <v>1488</v>
      </c>
    </row>
    <row r="1068" spans="1:4" ht="14.25" hidden="1" customHeight="1">
      <c r="A1068" t="s">
        <v>1349</v>
      </c>
      <c r="B1068">
        <v>37</v>
      </c>
      <c r="C1068" t="s">
        <v>1386</v>
      </c>
      <c r="D1068" t="s">
        <v>1488</v>
      </c>
    </row>
    <row r="1069" spans="1:4" ht="14.25" hidden="1" customHeight="1">
      <c r="A1069" t="s">
        <v>1349</v>
      </c>
      <c r="B1069">
        <v>38</v>
      </c>
      <c r="C1069" t="s">
        <v>1387</v>
      </c>
      <c r="D1069" t="s">
        <v>1488</v>
      </c>
    </row>
    <row r="1070" spans="1:4" ht="14.25" hidden="1" customHeight="1">
      <c r="A1070" t="s">
        <v>1349</v>
      </c>
      <c r="B1070">
        <v>39</v>
      </c>
      <c r="C1070" t="s">
        <v>1388</v>
      </c>
      <c r="D1070" t="s">
        <v>1488</v>
      </c>
    </row>
    <row r="1071" spans="1:4" ht="14.25" hidden="1" customHeight="1">
      <c r="A1071" t="s">
        <v>1349</v>
      </c>
      <c r="B1071">
        <v>40</v>
      </c>
      <c r="C1071" t="s">
        <v>1389</v>
      </c>
      <c r="D1071" t="s">
        <v>1488</v>
      </c>
    </row>
    <row r="1072" spans="1:4" ht="14.25" hidden="1" customHeight="1">
      <c r="A1072" t="s">
        <v>1349</v>
      </c>
      <c r="B1072">
        <v>41</v>
      </c>
      <c r="C1072" t="s">
        <v>1390</v>
      </c>
      <c r="D1072" t="s">
        <v>1488</v>
      </c>
    </row>
    <row r="1073" spans="1:4" ht="14.25" hidden="1" customHeight="1">
      <c r="A1073" t="s">
        <v>1349</v>
      </c>
      <c r="B1073">
        <v>42</v>
      </c>
      <c r="C1073" t="s">
        <v>1391</v>
      </c>
      <c r="D1073" t="s">
        <v>1488</v>
      </c>
    </row>
    <row r="1074" spans="1:4" ht="14.25" hidden="1" customHeight="1">
      <c r="A1074" t="s">
        <v>1349</v>
      </c>
      <c r="B1074">
        <v>43</v>
      </c>
      <c r="C1074" t="s">
        <v>1392</v>
      </c>
      <c r="D1074" t="s">
        <v>1488</v>
      </c>
    </row>
    <row r="1075" spans="1:4" ht="14.25" hidden="1" customHeight="1">
      <c r="A1075" t="s">
        <v>1349</v>
      </c>
      <c r="B1075">
        <v>44</v>
      </c>
      <c r="C1075" t="s">
        <v>1393</v>
      </c>
      <c r="D1075" t="s">
        <v>1488</v>
      </c>
    </row>
    <row r="1076" spans="1:4" ht="14.25" hidden="1" customHeight="1">
      <c r="A1076" t="s">
        <v>1349</v>
      </c>
      <c r="B1076">
        <v>45</v>
      </c>
      <c r="C1076" t="s">
        <v>1394</v>
      </c>
      <c r="D1076" t="s">
        <v>1488</v>
      </c>
    </row>
    <row r="1077" spans="1:4" ht="14.25" hidden="1" customHeight="1">
      <c r="A1077" t="s">
        <v>1349</v>
      </c>
      <c r="B1077">
        <v>46</v>
      </c>
      <c r="C1077" t="s">
        <v>1395</v>
      </c>
      <c r="D1077" t="s">
        <v>1488</v>
      </c>
    </row>
    <row r="1078" spans="1:4" ht="14.25" hidden="1" customHeight="1">
      <c r="A1078" t="s">
        <v>1349</v>
      </c>
      <c r="B1078">
        <v>47</v>
      </c>
      <c r="C1078" t="s">
        <v>1396</v>
      </c>
      <c r="D1078" t="s">
        <v>1488</v>
      </c>
    </row>
    <row r="1079" spans="1:4" ht="14.25" hidden="1" customHeight="1">
      <c r="A1079" t="s">
        <v>1349</v>
      </c>
      <c r="B1079">
        <v>48</v>
      </c>
      <c r="C1079" t="s">
        <v>1397</v>
      </c>
      <c r="D1079" t="s">
        <v>1488</v>
      </c>
    </row>
    <row r="1080" spans="1:4" ht="14.25" hidden="1" customHeight="1">
      <c r="A1080" t="s">
        <v>1349</v>
      </c>
      <c r="B1080">
        <v>49</v>
      </c>
      <c r="C1080" t="s">
        <v>1398</v>
      </c>
      <c r="D1080" t="s">
        <v>1488</v>
      </c>
    </row>
    <row r="1081" spans="1:4" ht="14.25" hidden="1" customHeight="1">
      <c r="A1081" t="s">
        <v>1349</v>
      </c>
      <c r="B1081">
        <v>50</v>
      </c>
      <c r="C1081" t="s">
        <v>1399</v>
      </c>
      <c r="D1081" t="s">
        <v>1488</v>
      </c>
    </row>
    <row r="1082" spans="1:4" ht="14.25" hidden="1" customHeight="1">
      <c r="A1082" t="s">
        <v>1349</v>
      </c>
      <c r="B1082">
        <v>51</v>
      </c>
      <c r="C1082" t="s">
        <v>1400</v>
      </c>
      <c r="D1082" t="s">
        <v>1488</v>
      </c>
    </row>
    <row r="1083" spans="1:4" ht="14.25" hidden="1" customHeight="1">
      <c r="A1083" t="s">
        <v>1349</v>
      </c>
      <c r="B1083">
        <v>52</v>
      </c>
      <c r="C1083" t="s">
        <v>1401</v>
      </c>
      <c r="D1083" t="s">
        <v>1488</v>
      </c>
    </row>
    <row r="1084" spans="1:4" ht="14.25" hidden="1" customHeight="1">
      <c r="A1084" t="s">
        <v>1349</v>
      </c>
      <c r="B1084">
        <v>53</v>
      </c>
      <c r="C1084" t="s">
        <v>1402</v>
      </c>
      <c r="D1084" t="s">
        <v>1488</v>
      </c>
    </row>
    <row r="1085" spans="1:4" ht="14.25" hidden="1" customHeight="1">
      <c r="A1085" t="s">
        <v>1349</v>
      </c>
      <c r="B1085">
        <v>54</v>
      </c>
      <c r="C1085" t="s">
        <v>1403</v>
      </c>
      <c r="D1085" t="s">
        <v>1488</v>
      </c>
    </row>
    <row r="1086" spans="1:4" ht="14.25" hidden="1" customHeight="1">
      <c r="A1086" t="s">
        <v>1349</v>
      </c>
      <c r="B1086">
        <v>55</v>
      </c>
      <c r="C1086" t="s">
        <v>1404</v>
      </c>
      <c r="D1086" t="s">
        <v>1488</v>
      </c>
    </row>
    <row r="1087" spans="1:4" ht="14.25" hidden="1" customHeight="1">
      <c r="A1087" t="s">
        <v>1349</v>
      </c>
      <c r="B1087">
        <v>56</v>
      </c>
      <c r="C1087" t="s">
        <v>1405</v>
      </c>
      <c r="D1087" t="s">
        <v>1488</v>
      </c>
    </row>
    <row r="1088" spans="1:4" ht="14.25" hidden="1" customHeight="1">
      <c r="A1088" t="s">
        <v>1349</v>
      </c>
      <c r="B1088">
        <v>57</v>
      </c>
      <c r="C1088" t="s">
        <v>1406</v>
      </c>
      <c r="D1088" t="s">
        <v>1488</v>
      </c>
    </row>
    <row r="1089" spans="1:4" ht="14.25" hidden="1" customHeight="1">
      <c r="A1089" t="s">
        <v>1349</v>
      </c>
      <c r="B1089">
        <v>58</v>
      </c>
      <c r="C1089" t="s">
        <v>1407</v>
      </c>
      <c r="D1089" t="s">
        <v>1488</v>
      </c>
    </row>
    <row r="1090" spans="1:4" ht="14.25" hidden="1" customHeight="1">
      <c r="A1090" t="s">
        <v>1349</v>
      </c>
      <c r="B1090">
        <v>59</v>
      </c>
      <c r="C1090" t="s">
        <v>1408</v>
      </c>
      <c r="D1090" t="s">
        <v>1488</v>
      </c>
    </row>
    <row r="1091" spans="1:4" ht="14.25" hidden="1" customHeight="1">
      <c r="A1091" t="s">
        <v>1349</v>
      </c>
      <c r="B1091">
        <v>60</v>
      </c>
      <c r="C1091" t="s">
        <v>1409</v>
      </c>
      <c r="D1091" t="s">
        <v>1488</v>
      </c>
    </row>
    <row r="1092" spans="1:4" ht="14.25" hidden="1" customHeight="1">
      <c r="A1092" t="s">
        <v>1349</v>
      </c>
      <c r="B1092">
        <v>61</v>
      </c>
      <c r="C1092" t="s">
        <v>1410</v>
      </c>
      <c r="D1092" t="s">
        <v>1488</v>
      </c>
    </row>
    <row r="1093" spans="1:4" ht="14.25" hidden="1" customHeight="1">
      <c r="A1093" t="s">
        <v>1349</v>
      </c>
      <c r="B1093">
        <v>62</v>
      </c>
      <c r="C1093" t="s">
        <v>1411</v>
      </c>
      <c r="D1093" t="s">
        <v>1488</v>
      </c>
    </row>
    <row r="1094" spans="1:4" ht="14.25" hidden="1" customHeight="1">
      <c r="A1094" t="s">
        <v>1349</v>
      </c>
      <c r="B1094">
        <v>63</v>
      </c>
      <c r="C1094" t="s">
        <v>1412</v>
      </c>
      <c r="D1094" t="s">
        <v>1488</v>
      </c>
    </row>
    <row r="1095" spans="1:4" ht="14.25" hidden="1" customHeight="1">
      <c r="A1095" t="s">
        <v>1349</v>
      </c>
      <c r="B1095">
        <v>64</v>
      </c>
      <c r="C1095" t="s">
        <v>1413</v>
      </c>
      <c r="D1095" t="s">
        <v>1488</v>
      </c>
    </row>
    <row r="1096" spans="1:4" ht="14.25" hidden="1" customHeight="1">
      <c r="A1096" t="s">
        <v>1349</v>
      </c>
      <c r="B1096">
        <v>65</v>
      </c>
      <c r="C1096" t="s">
        <v>1414</v>
      </c>
      <c r="D1096" t="s">
        <v>1488</v>
      </c>
    </row>
    <row r="1097" spans="1:4" ht="14.25" hidden="1" customHeight="1">
      <c r="A1097" t="s">
        <v>1349</v>
      </c>
      <c r="B1097">
        <v>66</v>
      </c>
      <c r="C1097" t="s">
        <v>1415</v>
      </c>
      <c r="D1097" t="s">
        <v>1488</v>
      </c>
    </row>
    <row r="1098" spans="1:4" ht="14.25" hidden="1" customHeight="1">
      <c r="A1098" t="s">
        <v>1349</v>
      </c>
      <c r="B1098">
        <v>67</v>
      </c>
      <c r="C1098" t="s">
        <v>1416</v>
      </c>
      <c r="D1098" t="s">
        <v>1488</v>
      </c>
    </row>
    <row r="1099" spans="1:4" ht="14.25" hidden="1" customHeight="1">
      <c r="A1099" t="s">
        <v>1349</v>
      </c>
      <c r="B1099">
        <v>68</v>
      </c>
      <c r="C1099" t="s">
        <v>1417</v>
      </c>
      <c r="D1099" t="s">
        <v>1488</v>
      </c>
    </row>
    <row r="1100" spans="1:4" ht="14.25" hidden="1" customHeight="1">
      <c r="A1100" t="s">
        <v>1349</v>
      </c>
      <c r="B1100">
        <v>69</v>
      </c>
      <c r="C1100" t="s">
        <v>1418</v>
      </c>
      <c r="D1100" t="s">
        <v>1488</v>
      </c>
    </row>
    <row r="1101" spans="1:4" ht="14.25" hidden="1" customHeight="1">
      <c r="A1101" t="s">
        <v>1349</v>
      </c>
      <c r="B1101">
        <v>70</v>
      </c>
      <c r="C1101" t="s">
        <v>1419</v>
      </c>
      <c r="D1101" t="s">
        <v>1488</v>
      </c>
    </row>
    <row r="1102" spans="1:4" ht="14.25" hidden="1" customHeight="1">
      <c r="A1102" t="s">
        <v>1349</v>
      </c>
      <c r="B1102">
        <v>71</v>
      </c>
      <c r="C1102" t="s">
        <v>1420</v>
      </c>
      <c r="D1102" t="s">
        <v>1488</v>
      </c>
    </row>
    <row r="1103" spans="1:4" ht="14.25" hidden="1" customHeight="1">
      <c r="A1103" t="s">
        <v>1349</v>
      </c>
      <c r="B1103">
        <v>72</v>
      </c>
      <c r="C1103" t="s">
        <v>1421</v>
      </c>
      <c r="D1103" t="s">
        <v>1488</v>
      </c>
    </row>
    <row r="1104" spans="1:4" ht="14.25" hidden="1" customHeight="1">
      <c r="A1104" t="s">
        <v>1349</v>
      </c>
      <c r="B1104">
        <v>73</v>
      </c>
      <c r="C1104" t="s">
        <v>1422</v>
      </c>
      <c r="D1104" t="s">
        <v>1488</v>
      </c>
    </row>
    <row r="1105" spans="1:4" ht="14.25" hidden="1" customHeight="1">
      <c r="A1105" t="s">
        <v>1349</v>
      </c>
      <c r="B1105">
        <v>74</v>
      </c>
      <c r="C1105" t="s">
        <v>1423</v>
      </c>
      <c r="D1105" t="s">
        <v>1488</v>
      </c>
    </row>
    <row r="1106" spans="1:4" ht="14.25" hidden="1" customHeight="1">
      <c r="A1106" t="s">
        <v>1349</v>
      </c>
      <c r="B1106">
        <v>75</v>
      </c>
      <c r="C1106" t="s">
        <v>1424</v>
      </c>
      <c r="D1106" t="s">
        <v>1488</v>
      </c>
    </row>
    <row r="1107" spans="1:4" ht="14.25" hidden="1" customHeight="1">
      <c r="A1107" t="s">
        <v>1349</v>
      </c>
      <c r="B1107">
        <v>76</v>
      </c>
      <c r="C1107" t="s">
        <v>1425</v>
      </c>
      <c r="D1107" t="s">
        <v>1488</v>
      </c>
    </row>
    <row r="1108" spans="1:4" ht="14.25" hidden="1" customHeight="1">
      <c r="A1108" t="s">
        <v>1349</v>
      </c>
      <c r="B1108">
        <v>77</v>
      </c>
      <c r="C1108" t="s">
        <v>1426</v>
      </c>
      <c r="D1108" t="s">
        <v>1488</v>
      </c>
    </row>
    <row r="1109" spans="1:4" ht="14.25" hidden="1" customHeight="1">
      <c r="A1109" t="s">
        <v>1349</v>
      </c>
      <c r="B1109">
        <v>78</v>
      </c>
      <c r="C1109" t="s">
        <v>1427</v>
      </c>
      <c r="D1109" t="s">
        <v>1488</v>
      </c>
    </row>
    <row r="1110" spans="1:4" ht="14.25" hidden="1" customHeight="1">
      <c r="A1110" t="s">
        <v>1349</v>
      </c>
      <c r="B1110">
        <v>79</v>
      </c>
      <c r="C1110" t="s">
        <v>1428</v>
      </c>
      <c r="D1110" t="s">
        <v>1488</v>
      </c>
    </row>
    <row r="1111" spans="1:4" ht="14.25" hidden="1" customHeight="1">
      <c r="A1111" t="s">
        <v>1349</v>
      </c>
      <c r="B1111">
        <v>80</v>
      </c>
      <c r="C1111" t="s">
        <v>735</v>
      </c>
      <c r="D1111" t="s">
        <v>1488</v>
      </c>
    </row>
    <row r="1112" spans="1:4" ht="14.25" hidden="1" customHeight="1">
      <c r="A1112" t="s">
        <v>1349</v>
      </c>
      <c r="B1112">
        <v>81</v>
      </c>
      <c r="C1112" t="s">
        <v>1429</v>
      </c>
      <c r="D1112" t="s">
        <v>1488</v>
      </c>
    </row>
    <row r="1113" spans="1:4" ht="14.25" hidden="1" customHeight="1">
      <c r="A1113" t="s">
        <v>1349</v>
      </c>
      <c r="B1113">
        <v>82</v>
      </c>
      <c r="C1113" t="s">
        <v>1430</v>
      </c>
      <c r="D1113" t="s">
        <v>1488</v>
      </c>
    </row>
    <row r="1114" spans="1:4" ht="14.25" hidden="1" customHeight="1">
      <c r="A1114" t="s">
        <v>1349</v>
      </c>
      <c r="B1114">
        <v>83</v>
      </c>
      <c r="C1114" t="s">
        <v>1431</v>
      </c>
      <c r="D1114" t="s">
        <v>1488</v>
      </c>
    </row>
    <row r="1115" spans="1:4" ht="14.25" hidden="1" customHeight="1">
      <c r="A1115" t="s">
        <v>1349</v>
      </c>
      <c r="B1115">
        <v>84</v>
      </c>
      <c r="C1115" t="s">
        <v>1432</v>
      </c>
      <c r="D1115" t="s">
        <v>1488</v>
      </c>
    </row>
    <row r="1116" spans="1:4" ht="14.25" hidden="1" customHeight="1">
      <c r="A1116" t="s">
        <v>1349</v>
      </c>
      <c r="B1116">
        <v>85</v>
      </c>
      <c r="C1116" t="s">
        <v>1433</v>
      </c>
      <c r="D1116" t="s">
        <v>1488</v>
      </c>
    </row>
    <row r="1117" spans="1:4" ht="14.25" hidden="1" customHeight="1">
      <c r="A1117" t="s">
        <v>1349</v>
      </c>
      <c r="B1117">
        <v>86</v>
      </c>
      <c r="C1117" t="s">
        <v>1434</v>
      </c>
      <c r="D1117" t="s">
        <v>1488</v>
      </c>
    </row>
    <row r="1118" spans="1:4" ht="14.25" hidden="1" customHeight="1">
      <c r="A1118" t="s">
        <v>1349</v>
      </c>
      <c r="B1118">
        <v>87</v>
      </c>
      <c r="C1118" t="s">
        <v>1435</v>
      </c>
      <c r="D1118" t="s">
        <v>1488</v>
      </c>
    </row>
    <row r="1119" spans="1:4" ht="14.25" hidden="1" customHeight="1">
      <c r="A1119" t="s">
        <v>1349</v>
      </c>
      <c r="B1119">
        <v>88</v>
      </c>
      <c r="C1119" t="s">
        <v>1436</v>
      </c>
      <c r="D1119" t="s">
        <v>1488</v>
      </c>
    </row>
    <row r="1120" spans="1:4" ht="14.25" hidden="1" customHeight="1">
      <c r="A1120" t="s">
        <v>1349</v>
      </c>
      <c r="B1120">
        <v>89</v>
      </c>
      <c r="C1120" t="s">
        <v>1437</v>
      </c>
      <c r="D1120" t="s">
        <v>1488</v>
      </c>
    </row>
    <row r="1121" spans="1:4" ht="14.25" hidden="1" customHeight="1">
      <c r="A1121" t="s">
        <v>1349</v>
      </c>
      <c r="B1121">
        <v>90</v>
      </c>
      <c r="C1121" t="s">
        <v>1438</v>
      </c>
      <c r="D1121" t="s">
        <v>1488</v>
      </c>
    </row>
    <row r="1122" spans="1:4" ht="14.25" hidden="1" customHeight="1">
      <c r="A1122" t="s">
        <v>1349</v>
      </c>
      <c r="B1122">
        <v>91</v>
      </c>
      <c r="C1122" t="s">
        <v>1439</v>
      </c>
      <c r="D1122" t="s">
        <v>1488</v>
      </c>
    </row>
    <row r="1123" spans="1:4" ht="14.25" hidden="1" customHeight="1">
      <c r="A1123" t="s">
        <v>1349</v>
      </c>
      <c r="B1123">
        <v>92</v>
      </c>
      <c r="C1123" t="s">
        <v>1440</v>
      </c>
      <c r="D1123" t="s">
        <v>1488</v>
      </c>
    </row>
    <row r="1124" spans="1:4" ht="14.25" hidden="1" customHeight="1">
      <c r="A1124" t="s">
        <v>1349</v>
      </c>
      <c r="B1124">
        <v>93</v>
      </c>
      <c r="C1124" t="s">
        <v>1441</v>
      </c>
      <c r="D1124" t="s">
        <v>1488</v>
      </c>
    </row>
    <row r="1125" spans="1:4" ht="14.25" hidden="1" customHeight="1">
      <c r="A1125" t="s">
        <v>1349</v>
      </c>
      <c r="B1125">
        <v>94</v>
      </c>
      <c r="C1125" t="s">
        <v>1442</v>
      </c>
      <c r="D1125" t="s">
        <v>1488</v>
      </c>
    </row>
    <row r="1126" spans="1:4" ht="14.25" hidden="1" customHeight="1">
      <c r="A1126" t="s">
        <v>1349</v>
      </c>
      <c r="B1126">
        <v>95</v>
      </c>
      <c r="C1126" t="s">
        <v>1443</v>
      </c>
      <c r="D1126" t="s">
        <v>1488</v>
      </c>
    </row>
    <row r="1127" spans="1:4" ht="14.25" hidden="1" customHeight="1">
      <c r="A1127" t="s">
        <v>1349</v>
      </c>
      <c r="B1127">
        <v>96</v>
      </c>
      <c r="C1127" t="s">
        <v>1444</v>
      </c>
      <c r="D1127" t="s">
        <v>1488</v>
      </c>
    </row>
    <row r="1128" spans="1:4" ht="14.25" hidden="1" customHeight="1">
      <c r="A1128" t="s">
        <v>1349</v>
      </c>
      <c r="B1128">
        <v>97</v>
      </c>
      <c r="C1128" t="s">
        <v>1445</v>
      </c>
      <c r="D1128" t="s">
        <v>1488</v>
      </c>
    </row>
    <row r="1129" spans="1:4" ht="14.25" hidden="1" customHeight="1">
      <c r="A1129" t="s">
        <v>1349</v>
      </c>
      <c r="B1129">
        <v>98</v>
      </c>
      <c r="C1129" t="s">
        <v>1446</v>
      </c>
      <c r="D1129" t="s">
        <v>1488</v>
      </c>
    </row>
    <row r="1130" spans="1:4" ht="14.25" hidden="1" customHeight="1">
      <c r="A1130" t="s">
        <v>1349</v>
      </c>
      <c r="B1130">
        <v>99</v>
      </c>
      <c r="C1130" t="s">
        <v>1447</v>
      </c>
      <c r="D1130" t="s">
        <v>1488</v>
      </c>
    </row>
    <row r="1131" spans="1:4" ht="14.25" hidden="1" customHeight="1">
      <c r="A1131" t="s">
        <v>1349</v>
      </c>
      <c r="B1131">
        <v>100</v>
      </c>
      <c r="C1131" t="s">
        <v>1448</v>
      </c>
      <c r="D1131" t="s">
        <v>1488</v>
      </c>
    </row>
    <row r="1132" spans="1:4" ht="14.25" hidden="1" customHeight="1">
      <c r="A1132" t="s">
        <v>1349</v>
      </c>
      <c r="B1132">
        <v>101</v>
      </c>
      <c r="C1132" t="s">
        <v>1449</v>
      </c>
      <c r="D1132" t="s">
        <v>1488</v>
      </c>
    </row>
    <row r="1133" spans="1:4" ht="14.25" hidden="1" customHeight="1">
      <c r="A1133" t="s">
        <v>1349</v>
      </c>
      <c r="B1133">
        <v>102</v>
      </c>
      <c r="C1133" t="s">
        <v>1450</v>
      </c>
      <c r="D1133" t="s">
        <v>1488</v>
      </c>
    </row>
    <row r="1134" spans="1:4" ht="14.25" hidden="1" customHeight="1">
      <c r="A1134" t="s">
        <v>1349</v>
      </c>
      <c r="B1134">
        <v>103</v>
      </c>
      <c r="C1134" t="s">
        <v>1451</v>
      </c>
      <c r="D1134" t="s">
        <v>1488</v>
      </c>
    </row>
    <row r="1135" spans="1:4" ht="14.25" hidden="1" customHeight="1">
      <c r="A1135" t="s">
        <v>1349</v>
      </c>
      <c r="B1135">
        <v>104</v>
      </c>
      <c r="C1135" t="s">
        <v>1452</v>
      </c>
      <c r="D1135" t="s">
        <v>1488</v>
      </c>
    </row>
    <row r="1136" spans="1:4" ht="14.25" hidden="1" customHeight="1">
      <c r="A1136" t="s">
        <v>1349</v>
      </c>
      <c r="B1136">
        <v>105</v>
      </c>
      <c r="C1136" t="s">
        <v>1453</v>
      </c>
      <c r="D1136" t="s">
        <v>1488</v>
      </c>
    </row>
    <row r="1137" spans="1:4" ht="14.25" hidden="1" customHeight="1">
      <c r="A1137" t="s">
        <v>1349</v>
      </c>
      <c r="B1137">
        <v>106</v>
      </c>
      <c r="C1137" t="s">
        <v>1454</v>
      </c>
      <c r="D1137" t="s">
        <v>1488</v>
      </c>
    </row>
    <row r="1138" spans="1:4" ht="14.25" hidden="1" customHeight="1">
      <c r="A1138" t="s">
        <v>1349</v>
      </c>
      <c r="B1138">
        <v>107</v>
      </c>
      <c r="C1138" t="s">
        <v>1455</v>
      </c>
      <c r="D1138" t="s">
        <v>1488</v>
      </c>
    </row>
    <row r="1139" spans="1:4" ht="14.25" hidden="1" customHeight="1">
      <c r="A1139" t="s">
        <v>1349</v>
      </c>
      <c r="B1139">
        <v>108</v>
      </c>
      <c r="C1139" t="s">
        <v>1456</v>
      </c>
      <c r="D1139" t="s">
        <v>1488</v>
      </c>
    </row>
    <row r="1140" spans="1:4" ht="14.25" hidden="1" customHeight="1">
      <c r="A1140" t="s">
        <v>1349</v>
      </c>
      <c r="B1140">
        <v>109</v>
      </c>
      <c r="C1140" t="s">
        <v>1457</v>
      </c>
      <c r="D1140" t="s">
        <v>1488</v>
      </c>
    </row>
    <row r="1141" spans="1:4" ht="14.25" hidden="1" customHeight="1">
      <c r="A1141" t="s">
        <v>1349</v>
      </c>
      <c r="B1141">
        <v>110</v>
      </c>
      <c r="C1141" t="s">
        <v>1458</v>
      </c>
      <c r="D1141" t="s">
        <v>1488</v>
      </c>
    </row>
    <row r="1142" spans="1:4" ht="14.25" hidden="1" customHeight="1">
      <c r="A1142" t="s">
        <v>1349</v>
      </c>
      <c r="B1142">
        <v>111</v>
      </c>
      <c r="C1142" t="s">
        <v>1459</v>
      </c>
      <c r="D1142" t="s">
        <v>1488</v>
      </c>
    </row>
    <row r="1143" spans="1:4" ht="14.25" hidden="1" customHeight="1">
      <c r="A1143" t="s">
        <v>1349</v>
      </c>
      <c r="B1143">
        <v>112</v>
      </c>
      <c r="C1143" t="s">
        <v>1460</v>
      </c>
      <c r="D1143" t="s">
        <v>1488</v>
      </c>
    </row>
    <row r="1144" spans="1:4" ht="14.25" hidden="1" customHeight="1">
      <c r="A1144" t="s">
        <v>1349</v>
      </c>
      <c r="B1144">
        <v>113</v>
      </c>
      <c r="C1144" t="s">
        <v>1461</v>
      </c>
      <c r="D1144" t="s">
        <v>1488</v>
      </c>
    </row>
    <row r="1145" spans="1:4" ht="14.25" hidden="1" customHeight="1">
      <c r="A1145" t="s">
        <v>1349</v>
      </c>
      <c r="B1145">
        <v>114</v>
      </c>
      <c r="C1145" t="s">
        <v>1462</v>
      </c>
      <c r="D1145" t="s">
        <v>1488</v>
      </c>
    </row>
    <row r="1146" spans="1:4" ht="14.25" hidden="1" customHeight="1">
      <c r="A1146" t="s">
        <v>1349</v>
      </c>
      <c r="B1146">
        <v>115</v>
      </c>
      <c r="C1146" t="s">
        <v>1463</v>
      </c>
      <c r="D1146" t="s">
        <v>1488</v>
      </c>
    </row>
    <row r="1147" spans="1:4" ht="14.25" hidden="1" customHeight="1">
      <c r="A1147" t="s">
        <v>1349</v>
      </c>
      <c r="B1147">
        <v>116</v>
      </c>
      <c r="C1147" t="s">
        <v>1464</v>
      </c>
      <c r="D1147" t="s">
        <v>1488</v>
      </c>
    </row>
    <row r="1148" spans="1:4" ht="14.25" hidden="1" customHeight="1">
      <c r="A1148" t="s">
        <v>1349</v>
      </c>
      <c r="B1148">
        <v>117</v>
      </c>
      <c r="C1148" t="s">
        <v>1465</v>
      </c>
      <c r="D1148" t="s">
        <v>1488</v>
      </c>
    </row>
    <row r="1149" spans="1:4" ht="14.25" hidden="1" customHeight="1">
      <c r="A1149" t="s">
        <v>1349</v>
      </c>
      <c r="B1149">
        <v>118</v>
      </c>
      <c r="C1149" t="s">
        <v>1466</v>
      </c>
      <c r="D1149" t="s">
        <v>1488</v>
      </c>
    </row>
    <row r="1150" spans="1:4" ht="14.25" hidden="1" customHeight="1">
      <c r="A1150" t="s">
        <v>1349</v>
      </c>
      <c r="B1150">
        <v>119</v>
      </c>
      <c r="C1150" t="s">
        <v>1467</v>
      </c>
      <c r="D1150" t="s">
        <v>1488</v>
      </c>
    </row>
    <row r="1151" spans="1:4" ht="14.25" hidden="1" customHeight="1">
      <c r="A1151" t="s">
        <v>1349</v>
      </c>
      <c r="B1151">
        <v>120</v>
      </c>
      <c r="C1151" t="s">
        <v>1468</v>
      </c>
      <c r="D1151" t="s">
        <v>1488</v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 xr:uid="{00000000-0009-0000-0000-000001000000}">
    <filterColumn colId="0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rightToLeft="1" zoomScaleNormal="100" workbookViewId="0"/>
  </sheetViews>
  <sheetFormatPr defaultColWidth="12.5703125" defaultRowHeight="15"/>
  <cols>
    <col min="1" max="1" width="29.42578125" customWidth="1"/>
    <col min="2" max="26" width="8.5703125" customWidth="1"/>
  </cols>
  <sheetData>
    <row r="1" spans="1:1" ht="15" customHeight="1">
      <c r="A1" t="s">
        <v>2</v>
      </c>
    </row>
    <row r="2" spans="1:1" ht="15" customHeight="1">
      <c r="A2" t="s">
        <v>36</v>
      </c>
    </row>
    <row r="3" spans="1:1" ht="15" customHeight="1">
      <c r="A3" t="s">
        <v>185</v>
      </c>
    </row>
    <row r="4" spans="1:1" ht="15" customHeight="1">
      <c r="A4" t="s">
        <v>206</v>
      </c>
    </row>
    <row r="5" spans="1:1" ht="15" customHeight="1">
      <c r="A5" t="s">
        <v>327</v>
      </c>
    </row>
    <row r="6" spans="1:1" ht="15" customHeight="1">
      <c r="A6" t="s">
        <v>348</v>
      </c>
    </row>
    <row r="7" spans="1:1" ht="15" customHeight="1">
      <c r="A7" t="s">
        <v>473</v>
      </c>
    </row>
    <row r="8" spans="1:1" ht="15" customHeight="1">
      <c r="A8" t="s">
        <v>580</v>
      </c>
    </row>
    <row r="9" spans="1:1" ht="15" customHeight="1">
      <c r="A9" t="s">
        <v>709</v>
      </c>
    </row>
    <row r="10" spans="1:1" ht="15" customHeight="1">
      <c r="A10" t="s">
        <v>732</v>
      </c>
    </row>
    <row r="11" spans="1:1" ht="15" customHeight="1">
      <c r="A11" t="s">
        <v>849</v>
      </c>
    </row>
    <row r="12" spans="1:1" ht="15" customHeight="1">
      <c r="A12" t="s">
        <v>1024</v>
      </c>
    </row>
    <row r="13" spans="1:1" ht="15" customHeight="1">
      <c r="A13" t="s">
        <v>1145</v>
      </c>
    </row>
    <row r="14" spans="1:1" ht="15" customHeight="1">
      <c r="A14" t="s">
        <v>1349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rightToLeft="1" zoomScaleNormal="100" workbookViewId="0"/>
  </sheetViews>
  <sheetFormatPr defaultColWidth="12.5703125" defaultRowHeight="15"/>
  <cols>
    <col min="1" max="26" width="8.5703125" customWidth="1"/>
  </cols>
  <sheetData>
    <row r="1" spans="1:4" ht="26.25" customHeight="1">
      <c r="A1" s="3" t="s">
        <v>2</v>
      </c>
      <c r="B1" s="4" t="s">
        <v>1503</v>
      </c>
      <c r="C1" t="s">
        <v>4</v>
      </c>
      <c r="D1" t="s">
        <v>5</v>
      </c>
    </row>
    <row r="2" spans="1:4" ht="15" customHeight="1">
      <c r="A2" s="5" t="s">
        <v>10</v>
      </c>
      <c r="B2" s="6">
        <v>26</v>
      </c>
      <c r="C2">
        <f>COUNTIFS(מסונן!A:A,Sheet1!A10,מסונן!D:D,"נ",מסונן!B:B,"&lt;=" &amp; חישוב!B2)</f>
        <v>4</v>
      </c>
      <c r="D2">
        <f t="shared" ref="D2:D12" si="0">B2-C2</f>
        <v>22</v>
      </c>
    </row>
    <row r="3" spans="1:4" ht="26.25" customHeight="1">
      <c r="A3" s="5" t="s">
        <v>1504</v>
      </c>
      <c r="B3" s="6">
        <v>10</v>
      </c>
      <c r="C3">
        <f>COUNTIFS(מסונן!A:A,Sheet1!A9,מסונן!D:D,"נ",מסונן!B:B,"&lt;=" &amp; חישוב!B3)</f>
        <v>3</v>
      </c>
      <c r="D3">
        <f t="shared" si="0"/>
        <v>7</v>
      </c>
    </row>
    <row r="4" spans="1:4" ht="15" customHeight="1">
      <c r="A4" s="7" t="s">
        <v>1505</v>
      </c>
      <c r="B4" s="6">
        <v>7</v>
      </c>
      <c r="C4" s="6">
        <f>COUNTIFS(מסונן!A:A,Sheet1!A8,מסונן!D:D,"נ",מסונן!B:B,"&lt;=" &amp; חישוב!B4)</f>
        <v>2</v>
      </c>
      <c r="D4">
        <f t="shared" si="0"/>
        <v>5</v>
      </c>
    </row>
    <row r="5" spans="1:4" ht="15" customHeight="1">
      <c r="A5" s="5" t="s">
        <v>16</v>
      </c>
      <c r="B5" s="6">
        <v>11</v>
      </c>
      <c r="C5">
        <f>COUNTIFS(מסונן!A:A,Sheet1!A2,מסונן!D:D,"נ",מסונן!B:B,"&lt;=" &amp; חישוב!B5/2)+COUNTIFS(מסונן!A:A,Sheet1!A11,מסונן!D:D,"נ",מסונן!B:B,"&lt;=" &amp; חישוב!B5/2)</f>
        <v>5</v>
      </c>
      <c r="D5">
        <f t="shared" si="0"/>
        <v>6</v>
      </c>
    </row>
    <row r="6" spans="1:4" ht="15" customHeight="1">
      <c r="A6" s="5" t="s">
        <v>1506</v>
      </c>
      <c r="B6" s="6">
        <v>9</v>
      </c>
      <c r="C6">
        <f>COUNTIFS(מסונן!A:A,Sheet1!A13,מסונן!D:D,"נ",מסונן!B:B,"&lt;=" &amp; חישוב!B6)</f>
        <v>3</v>
      </c>
      <c r="D6">
        <f t="shared" si="0"/>
        <v>6</v>
      </c>
    </row>
    <row r="7" spans="1:4" ht="15" customHeight="1">
      <c r="A7" s="5" t="s">
        <v>12</v>
      </c>
      <c r="B7" s="6">
        <v>10</v>
      </c>
      <c r="C7">
        <f>COUNTIFS(מסונן!A:A,Sheet1!A14,מסונן!D:D,"נ",מסונן!B:B,"&lt;=" &amp; חישוב!B7)</f>
        <v>0</v>
      </c>
      <c r="D7">
        <f t="shared" si="0"/>
        <v>10</v>
      </c>
    </row>
    <row r="8" spans="1:4" ht="26.25" customHeight="1">
      <c r="A8" s="5" t="s">
        <v>11</v>
      </c>
      <c r="B8" s="6">
        <v>7</v>
      </c>
      <c r="C8">
        <f>COUNTIFS(מסונן!A:A,Sheet1!A4,מסונן!D:D,"נ",מסונן!B:B,"&lt;=" &amp; חישוב!B8)</f>
        <v>0</v>
      </c>
      <c r="D8">
        <f t="shared" si="0"/>
        <v>7</v>
      </c>
    </row>
    <row r="9" spans="1:4" ht="26.25" customHeight="1">
      <c r="A9" s="5" t="s">
        <v>19</v>
      </c>
      <c r="B9" s="6">
        <v>6</v>
      </c>
      <c r="C9">
        <f>COUNTIFS(מסונן!A:A,Sheet1!A7,מסונן!D:D,"נ",מסונן!B:B,"&lt;=" &amp; חישוב!B9)</f>
        <v>1</v>
      </c>
      <c r="D9">
        <f t="shared" si="0"/>
        <v>5</v>
      </c>
    </row>
    <row r="10" spans="1:4" ht="15" customHeight="1">
      <c r="A10" s="5" t="s">
        <v>18</v>
      </c>
      <c r="B10" s="6">
        <v>6</v>
      </c>
      <c r="C10">
        <f>COUNTIFS(מסונן!A:A,Sheet1!A12,מסונן!D:D,"נ",מסונן!B:B,"&lt;=" &amp; חישוב!B10)</f>
        <v>1</v>
      </c>
      <c r="D10">
        <f t="shared" si="0"/>
        <v>5</v>
      </c>
    </row>
    <row r="11" spans="1:4" ht="15" customHeight="1">
      <c r="A11" s="5" t="s">
        <v>1507</v>
      </c>
      <c r="B11" s="6">
        <v>4</v>
      </c>
      <c r="C11">
        <f>COUNTIFS(מסונן!A:A,Sheet1!A6,מסונן!D:D,"נ",מסונן!B:B,"&lt;=" &amp; חישוב!B11)</f>
        <v>1</v>
      </c>
      <c r="D11">
        <f t="shared" si="0"/>
        <v>3</v>
      </c>
    </row>
    <row r="12" spans="1:4" ht="26.25" customHeight="1">
      <c r="A12" s="8" t="s">
        <v>17</v>
      </c>
      <c r="B12" s="6">
        <v>0</v>
      </c>
      <c r="C12">
        <f>COUNTIFS(מסונן!A:A,Sheet1!A7,מסונן!D:D,"נ",מסונן!B:B,"&lt;=" &amp; חישוב!B12)</f>
        <v>0</v>
      </c>
      <c r="D12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"/>
  <sheetViews>
    <sheetView rightToLeft="1" zoomScaleNormal="100" workbookViewId="0">
      <selection activeCell="A16" sqref="A16"/>
    </sheetView>
  </sheetViews>
  <sheetFormatPr defaultColWidth="8.5703125" defaultRowHeight="15"/>
  <cols>
    <col min="1" max="1" width="26" customWidth="1"/>
    <col min="2" max="2" width="20" customWidth="1"/>
    <col min="3" max="3" width="10" customWidth="1"/>
    <col min="4" max="4" width="20" customWidth="1"/>
  </cols>
  <sheetData>
    <row r="1" spans="1:4" ht="15" customHeight="1">
      <c r="A1" s="9" t="s">
        <v>2</v>
      </c>
      <c r="B1" s="9" t="s">
        <v>1508</v>
      </c>
      <c r="C1" s="9" t="s">
        <v>1509</v>
      </c>
      <c r="D1" s="9" t="s">
        <v>1510</v>
      </c>
    </row>
    <row r="2" spans="1:4" ht="15" customHeight="1">
      <c r="A2" t="s">
        <v>10</v>
      </c>
      <c r="B2">
        <v>20.7</v>
      </c>
      <c r="C2">
        <f t="shared" ref="C2:C19" si="0">ROUND(B2,0)</f>
        <v>21</v>
      </c>
      <c r="D2">
        <f t="shared" ref="D2:D19" si="1">IF(C2&lt;=3,0,C2)</f>
        <v>21</v>
      </c>
    </row>
    <row r="3" spans="1:4" ht="15" customHeight="1">
      <c r="A3" t="s">
        <v>21</v>
      </c>
      <c r="B3">
        <v>22.1</v>
      </c>
      <c r="C3">
        <f t="shared" si="0"/>
        <v>22</v>
      </c>
      <c r="D3">
        <f t="shared" si="1"/>
        <v>22</v>
      </c>
    </row>
    <row r="4" spans="1:4" ht="15" customHeight="1">
      <c r="A4" t="s">
        <v>20</v>
      </c>
      <c r="B4">
        <v>11.8</v>
      </c>
      <c r="C4">
        <f t="shared" si="0"/>
        <v>12</v>
      </c>
      <c r="D4">
        <f t="shared" si="1"/>
        <v>12</v>
      </c>
    </row>
    <row r="5" spans="1:4" ht="15" customHeight="1">
      <c r="A5" t="s">
        <v>16</v>
      </c>
      <c r="B5">
        <v>8.8000000000000007</v>
      </c>
      <c r="C5">
        <f t="shared" si="0"/>
        <v>9</v>
      </c>
      <c r="D5">
        <f t="shared" si="1"/>
        <v>9</v>
      </c>
    </row>
    <row r="6" spans="1:4" ht="15" customHeight="1">
      <c r="A6" t="s">
        <v>15</v>
      </c>
      <c r="B6">
        <v>8</v>
      </c>
      <c r="C6">
        <f t="shared" si="0"/>
        <v>8</v>
      </c>
      <c r="D6">
        <f t="shared" si="1"/>
        <v>8</v>
      </c>
    </row>
    <row r="7" spans="1:4" ht="15" customHeight="1">
      <c r="A7" t="s">
        <v>12</v>
      </c>
      <c r="B7">
        <v>7.7</v>
      </c>
      <c r="C7">
        <f t="shared" si="0"/>
        <v>8</v>
      </c>
      <c r="D7">
        <f t="shared" si="1"/>
        <v>8</v>
      </c>
    </row>
    <row r="8" spans="1:4" ht="15" customHeight="1">
      <c r="A8" t="s">
        <v>19</v>
      </c>
      <c r="B8">
        <v>8</v>
      </c>
      <c r="C8">
        <f t="shared" si="0"/>
        <v>8</v>
      </c>
      <c r="D8">
        <f t="shared" si="1"/>
        <v>8</v>
      </c>
    </row>
    <row r="9" spans="1:4" ht="15" customHeight="1">
      <c r="A9" t="s">
        <v>11</v>
      </c>
      <c r="B9">
        <v>7.5</v>
      </c>
      <c r="C9">
        <f t="shared" si="0"/>
        <v>8</v>
      </c>
      <c r="D9">
        <f t="shared" si="1"/>
        <v>8</v>
      </c>
    </row>
    <row r="10" spans="1:4" ht="15" customHeight="1">
      <c r="A10" t="s">
        <v>14</v>
      </c>
      <c r="B10">
        <v>8.1</v>
      </c>
      <c r="C10">
        <f t="shared" si="0"/>
        <v>8</v>
      </c>
      <c r="D10">
        <f t="shared" si="1"/>
        <v>8</v>
      </c>
    </row>
    <row r="11" spans="1:4" ht="15" customHeight="1">
      <c r="A11" t="s">
        <v>17</v>
      </c>
      <c r="B11">
        <v>6.2</v>
      </c>
      <c r="C11">
        <f t="shared" si="0"/>
        <v>6</v>
      </c>
      <c r="D11">
        <f t="shared" si="1"/>
        <v>6</v>
      </c>
    </row>
    <row r="12" spans="1:4" ht="15" customHeight="1">
      <c r="A12" t="s">
        <v>18</v>
      </c>
      <c r="B12">
        <v>5.0999999999999996</v>
      </c>
      <c r="C12">
        <f t="shared" si="0"/>
        <v>5</v>
      </c>
      <c r="D12">
        <f t="shared" si="1"/>
        <v>5</v>
      </c>
    </row>
    <row r="13" spans="1:4" ht="15" customHeight="1">
      <c r="A13" t="s">
        <v>13</v>
      </c>
      <c r="B13">
        <v>0.9</v>
      </c>
      <c r="C13">
        <f t="shared" si="0"/>
        <v>1</v>
      </c>
      <c r="D13">
        <f t="shared" si="1"/>
        <v>0</v>
      </c>
    </row>
    <row r="14" spans="1:4" ht="15" customHeight="1">
      <c r="A14" t="s">
        <v>1511</v>
      </c>
      <c r="B14">
        <v>1.6</v>
      </c>
      <c r="C14">
        <f t="shared" si="0"/>
        <v>2</v>
      </c>
      <c r="D14">
        <f t="shared" si="1"/>
        <v>0</v>
      </c>
    </row>
    <row r="15" spans="1:4" ht="15" customHeight="1">
      <c r="A15" t="s">
        <v>1512</v>
      </c>
      <c r="B15">
        <v>1.2</v>
      </c>
      <c r="C15">
        <f t="shared" si="0"/>
        <v>1</v>
      </c>
      <c r="D15">
        <f t="shared" si="1"/>
        <v>0</v>
      </c>
    </row>
    <row r="16" spans="1:4" ht="15" customHeight="1">
      <c r="A16" t="s">
        <v>22</v>
      </c>
      <c r="B16">
        <v>3.4</v>
      </c>
      <c r="C16">
        <f t="shared" si="0"/>
        <v>3</v>
      </c>
      <c r="D16">
        <f t="shared" si="1"/>
        <v>0</v>
      </c>
    </row>
    <row r="17" spans="1:4">
      <c r="A17" t="s">
        <v>23</v>
      </c>
      <c r="B17">
        <v>4</v>
      </c>
      <c r="C17">
        <f t="shared" si="0"/>
        <v>4</v>
      </c>
      <c r="D17">
        <f t="shared" si="1"/>
        <v>4</v>
      </c>
    </row>
    <row r="18" spans="1:4">
      <c r="A18" t="s">
        <v>1513</v>
      </c>
      <c r="B18">
        <v>0</v>
      </c>
      <c r="C18">
        <f t="shared" si="0"/>
        <v>0</v>
      </c>
      <c r="D18">
        <f t="shared" si="1"/>
        <v>0</v>
      </c>
    </row>
    <row r="19" spans="1:4">
      <c r="A19" t="s">
        <v>1514</v>
      </c>
      <c r="B19">
        <v>0</v>
      </c>
      <c r="C19">
        <f t="shared" si="0"/>
        <v>0</v>
      </c>
      <c r="D19">
        <f t="shared" si="1"/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61"/>
  <sheetViews>
    <sheetView rightToLeft="1" topLeftCell="A197" zoomScaleNormal="100" workbookViewId="0">
      <selection activeCell="E110" sqref="E110"/>
    </sheetView>
  </sheetViews>
  <sheetFormatPr defaultColWidth="8.5703125" defaultRowHeight="15"/>
  <cols>
    <col min="1" max="1" width="20" customWidth="1"/>
    <col min="2" max="2" width="8" customWidth="1"/>
    <col min="3" max="3" width="26" customWidth="1"/>
    <col min="4" max="4" width="8" customWidth="1"/>
    <col min="5" max="5" width="55" customWidth="1"/>
  </cols>
  <sheetData>
    <row r="1" spans="1:5" ht="15" customHeight="1">
      <c r="A1" s="10" t="s">
        <v>2</v>
      </c>
      <c r="B1" s="10" t="s">
        <v>33</v>
      </c>
      <c r="C1" s="10" t="s">
        <v>34</v>
      </c>
      <c r="D1" s="10" t="s">
        <v>1486</v>
      </c>
      <c r="E1" s="10" t="s">
        <v>1515</v>
      </c>
    </row>
    <row r="2" spans="1:5" ht="15" customHeight="1">
      <c r="A2" t="s">
        <v>20</v>
      </c>
      <c r="B2">
        <v>1</v>
      </c>
      <c r="C2" t="s">
        <v>1516</v>
      </c>
      <c r="D2" t="s">
        <v>1488</v>
      </c>
      <c r="E2" t="s">
        <v>1517</v>
      </c>
    </row>
    <row r="3" spans="1:5" ht="15" customHeight="1">
      <c r="A3" t="s">
        <v>20</v>
      </c>
      <c r="B3">
        <v>2</v>
      </c>
      <c r="C3" t="s">
        <v>1146</v>
      </c>
      <c r="D3" t="s">
        <v>1488</v>
      </c>
      <c r="E3" t="s">
        <v>1517</v>
      </c>
    </row>
    <row r="4" spans="1:5" ht="15" customHeight="1">
      <c r="A4" t="s">
        <v>20</v>
      </c>
      <c r="B4">
        <v>3</v>
      </c>
      <c r="C4" t="s">
        <v>1518</v>
      </c>
      <c r="D4" t="s">
        <v>1487</v>
      </c>
      <c r="E4" t="s">
        <v>1517</v>
      </c>
    </row>
    <row r="5" spans="1:5" ht="15" customHeight="1">
      <c r="A5" t="s">
        <v>20</v>
      </c>
      <c r="B5">
        <v>4</v>
      </c>
      <c r="C5" t="s">
        <v>1519</v>
      </c>
      <c r="D5" t="s">
        <v>1487</v>
      </c>
      <c r="E5" t="s">
        <v>1517</v>
      </c>
    </row>
    <row r="6" spans="1:5" ht="15" customHeight="1">
      <c r="A6" t="s">
        <v>20</v>
      </c>
      <c r="B6">
        <v>5</v>
      </c>
      <c r="C6" t="s">
        <v>1520</v>
      </c>
      <c r="D6" t="s">
        <v>1487</v>
      </c>
      <c r="E6" t="s">
        <v>1517</v>
      </c>
    </row>
    <row r="7" spans="1:5" ht="15" customHeight="1">
      <c r="A7" t="s">
        <v>20</v>
      </c>
      <c r="B7">
        <v>6</v>
      </c>
      <c r="C7" t="s">
        <v>1521</v>
      </c>
      <c r="D7" t="s">
        <v>1488</v>
      </c>
      <c r="E7" t="s">
        <v>1517</v>
      </c>
    </row>
    <row r="8" spans="1:5" ht="15" customHeight="1">
      <c r="A8" t="s">
        <v>20</v>
      </c>
      <c r="B8">
        <v>7</v>
      </c>
      <c r="C8" t="s">
        <v>1522</v>
      </c>
      <c r="D8" t="s">
        <v>1487</v>
      </c>
      <c r="E8" t="s">
        <v>1517</v>
      </c>
    </row>
    <row r="9" spans="1:5" ht="15" customHeight="1">
      <c r="A9" t="s">
        <v>20</v>
      </c>
      <c r="B9">
        <v>8</v>
      </c>
      <c r="C9" t="s">
        <v>1523</v>
      </c>
      <c r="D9" t="s">
        <v>1488</v>
      </c>
      <c r="E9" t="s">
        <v>1517</v>
      </c>
    </row>
    <row r="10" spans="1:5" ht="15" customHeight="1">
      <c r="A10" t="s">
        <v>20</v>
      </c>
      <c r="B10">
        <v>9</v>
      </c>
      <c r="C10" t="s">
        <v>1524</v>
      </c>
      <c r="D10" t="s">
        <v>1487</v>
      </c>
      <c r="E10" t="s">
        <v>1517</v>
      </c>
    </row>
    <row r="11" spans="1:5" ht="15" customHeight="1">
      <c r="A11" t="s">
        <v>20</v>
      </c>
      <c r="B11">
        <v>10</v>
      </c>
      <c r="C11" t="s">
        <v>1525</v>
      </c>
      <c r="D11" t="s">
        <v>1488</v>
      </c>
      <c r="E11" t="s">
        <v>1517</v>
      </c>
    </row>
    <row r="12" spans="1:5" ht="15" customHeight="1">
      <c r="A12" t="s">
        <v>20</v>
      </c>
      <c r="B12">
        <v>11</v>
      </c>
      <c r="C12" t="s">
        <v>1526</v>
      </c>
      <c r="D12" t="s">
        <v>1487</v>
      </c>
      <c r="E12" t="s">
        <v>1517</v>
      </c>
    </row>
    <row r="13" spans="1:5" ht="15" customHeight="1">
      <c r="A13" t="s">
        <v>20</v>
      </c>
      <c r="B13">
        <v>12</v>
      </c>
      <c r="C13" t="s">
        <v>1527</v>
      </c>
      <c r="D13" t="s">
        <v>1488</v>
      </c>
      <c r="E13" t="s">
        <v>1517</v>
      </c>
    </row>
    <row r="14" spans="1:5" ht="15" customHeight="1">
      <c r="A14" t="s">
        <v>20</v>
      </c>
      <c r="B14">
        <v>13</v>
      </c>
      <c r="C14" t="s">
        <v>1528</v>
      </c>
      <c r="D14" t="s">
        <v>1488</v>
      </c>
      <c r="E14" t="s">
        <v>1517</v>
      </c>
    </row>
    <row r="15" spans="1:5" ht="15" customHeight="1">
      <c r="A15" t="s">
        <v>20</v>
      </c>
      <c r="B15">
        <v>14</v>
      </c>
      <c r="C15" t="s">
        <v>1529</v>
      </c>
      <c r="D15" t="s">
        <v>1488</v>
      </c>
      <c r="E15" t="s">
        <v>1517</v>
      </c>
    </row>
    <row r="16" spans="1:5" ht="15" customHeight="1">
      <c r="A16" t="s">
        <v>20</v>
      </c>
      <c r="B16">
        <v>15</v>
      </c>
      <c r="C16" t="s">
        <v>1530</v>
      </c>
      <c r="D16" t="s">
        <v>1488</v>
      </c>
      <c r="E16" t="s">
        <v>1517</v>
      </c>
    </row>
    <row r="17" spans="1:5" ht="15" customHeight="1">
      <c r="A17" t="s">
        <v>20</v>
      </c>
      <c r="B17">
        <v>16</v>
      </c>
      <c r="C17" t="s">
        <v>1531</v>
      </c>
      <c r="D17" t="s">
        <v>1488</v>
      </c>
      <c r="E17" t="s">
        <v>1517</v>
      </c>
    </row>
    <row r="18" spans="1:5" ht="15" customHeight="1">
      <c r="A18" t="s">
        <v>20</v>
      </c>
      <c r="B18">
        <v>17</v>
      </c>
      <c r="C18" t="s">
        <v>1532</v>
      </c>
      <c r="D18" t="s">
        <v>1487</v>
      </c>
      <c r="E18" t="s">
        <v>1533</v>
      </c>
    </row>
    <row r="19" spans="1:5" ht="15" customHeight="1">
      <c r="A19" t="s">
        <v>20</v>
      </c>
      <c r="B19">
        <v>18</v>
      </c>
      <c r="C19" t="s">
        <v>1534</v>
      </c>
      <c r="D19" t="s">
        <v>1488</v>
      </c>
      <c r="E19" t="s">
        <v>1517</v>
      </c>
    </row>
    <row r="20" spans="1:5" ht="15" customHeight="1">
      <c r="A20" t="s">
        <v>20</v>
      </c>
      <c r="B20">
        <v>19</v>
      </c>
      <c r="C20" t="s">
        <v>1535</v>
      </c>
      <c r="D20" t="s">
        <v>1488</v>
      </c>
      <c r="E20" t="s">
        <v>1536</v>
      </c>
    </row>
    <row r="21" spans="1:5" ht="15" customHeight="1">
      <c r="A21" t="s">
        <v>20</v>
      </c>
      <c r="B21">
        <v>20</v>
      </c>
      <c r="C21" t="s">
        <v>1537</v>
      </c>
      <c r="D21" t="s">
        <v>1487</v>
      </c>
      <c r="E21" t="s">
        <v>1517</v>
      </c>
    </row>
    <row r="22" spans="1:5" ht="15" customHeight="1">
      <c r="A22" t="s">
        <v>20</v>
      </c>
      <c r="B22">
        <v>21</v>
      </c>
      <c r="C22" t="s">
        <v>1538</v>
      </c>
      <c r="D22" t="s">
        <v>1487</v>
      </c>
      <c r="E22" t="s">
        <v>1517</v>
      </c>
    </row>
    <row r="23" spans="1:5" ht="15" customHeight="1">
      <c r="A23" t="s">
        <v>20</v>
      </c>
      <c r="B23">
        <v>22</v>
      </c>
      <c r="C23" t="s">
        <v>1539</v>
      </c>
      <c r="D23" t="s">
        <v>1487</v>
      </c>
      <c r="E23" t="s">
        <v>1517</v>
      </c>
    </row>
    <row r="24" spans="1:5" ht="15" customHeight="1">
      <c r="A24" t="s">
        <v>20</v>
      </c>
      <c r="B24">
        <v>23</v>
      </c>
      <c r="C24" t="s">
        <v>1540</v>
      </c>
      <c r="D24" t="s">
        <v>1488</v>
      </c>
      <c r="E24" t="s">
        <v>1517</v>
      </c>
    </row>
    <row r="25" spans="1:5" ht="15" customHeight="1">
      <c r="A25" t="s">
        <v>20</v>
      </c>
      <c r="B25">
        <v>24</v>
      </c>
      <c r="C25" t="s">
        <v>1541</v>
      </c>
      <c r="D25" t="s">
        <v>1488</v>
      </c>
      <c r="E25" t="s">
        <v>1517</v>
      </c>
    </row>
    <row r="26" spans="1:5" ht="15" customHeight="1">
      <c r="A26" t="s">
        <v>20</v>
      </c>
      <c r="B26">
        <v>25</v>
      </c>
      <c r="C26" t="s">
        <v>1542</v>
      </c>
      <c r="D26" t="s">
        <v>1488</v>
      </c>
      <c r="E26" t="s">
        <v>1517</v>
      </c>
    </row>
    <row r="27" spans="1:5" ht="15" customHeight="1">
      <c r="A27" t="s">
        <v>20</v>
      </c>
      <c r="B27">
        <v>26</v>
      </c>
      <c r="C27" t="s">
        <v>1543</v>
      </c>
      <c r="D27" t="s">
        <v>1487</v>
      </c>
      <c r="E27" t="s">
        <v>1517</v>
      </c>
    </row>
    <row r="28" spans="1:5" ht="15" customHeight="1">
      <c r="A28" t="s">
        <v>16</v>
      </c>
      <c r="B28">
        <v>1</v>
      </c>
      <c r="C28" t="s">
        <v>1544</v>
      </c>
      <c r="D28" t="s">
        <v>1488</v>
      </c>
      <c r="E28" t="s">
        <v>1545</v>
      </c>
    </row>
    <row r="29" spans="1:5" ht="15" customHeight="1">
      <c r="A29" t="s">
        <v>16</v>
      </c>
      <c r="B29">
        <v>2</v>
      </c>
      <c r="C29" t="s">
        <v>1546</v>
      </c>
      <c r="D29" t="s">
        <v>1487</v>
      </c>
      <c r="E29" t="s">
        <v>1547</v>
      </c>
    </row>
    <row r="30" spans="1:5" ht="15" customHeight="1">
      <c r="A30" t="s">
        <v>16</v>
      </c>
      <c r="B30">
        <v>3</v>
      </c>
      <c r="C30" t="s">
        <v>1548</v>
      </c>
      <c r="D30" t="s">
        <v>1488</v>
      </c>
      <c r="E30" t="s">
        <v>1547</v>
      </c>
    </row>
    <row r="31" spans="1:5" ht="15" customHeight="1">
      <c r="A31" t="s">
        <v>16</v>
      </c>
      <c r="B31">
        <v>4</v>
      </c>
      <c r="C31" t="s">
        <v>1549</v>
      </c>
      <c r="D31" t="s">
        <v>1487</v>
      </c>
      <c r="E31" t="s">
        <v>1547</v>
      </c>
    </row>
    <row r="32" spans="1:5" ht="15" customHeight="1">
      <c r="A32" t="s">
        <v>16</v>
      </c>
      <c r="B32">
        <v>5</v>
      </c>
      <c r="C32" t="s">
        <v>1550</v>
      </c>
      <c r="D32" t="s">
        <v>1488</v>
      </c>
      <c r="E32" t="s">
        <v>1547</v>
      </c>
    </row>
    <row r="33" spans="1:5" ht="15" customHeight="1">
      <c r="A33" t="s">
        <v>16</v>
      </c>
      <c r="B33">
        <v>6</v>
      </c>
      <c r="C33" t="s">
        <v>1551</v>
      </c>
      <c r="D33" t="s">
        <v>1487</v>
      </c>
      <c r="E33" t="s">
        <v>1547</v>
      </c>
    </row>
    <row r="34" spans="1:5" ht="15" customHeight="1">
      <c r="A34" t="s">
        <v>16</v>
      </c>
      <c r="B34">
        <v>7</v>
      </c>
      <c r="C34" t="s">
        <v>1552</v>
      </c>
      <c r="D34" t="s">
        <v>1488</v>
      </c>
      <c r="E34" t="s">
        <v>1547</v>
      </c>
    </row>
    <row r="35" spans="1:5" ht="15" customHeight="1">
      <c r="A35" t="s">
        <v>16</v>
      </c>
      <c r="B35">
        <v>8</v>
      </c>
      <c r="C35" t="s">
        <v>1553</v>
      </c>
      <c r="D35" t="s">
        <v>1487</v>
      </c>
      <c r="E35" t="s">
        <v>1547</v>
      </c>
    </row>
    <row r="36" spans="1:5" ht="15" customHeight="1">
      <c r="A36" t="s">
        <v>16</v>
      </c>
      <c r="B36">
        <v>9</v>
      </c>
      <c r="C36" t="s">
        <v>1554</v>
      </c>
      <c r="D36" t="s">
        <v>1488</v>
      </c>
      <c r="E36" t="s">
        <v>1547</v>
      </c>
    </row>
    <row r="37" spans="1:5" ht="15" customHeight="1">
      <c r="A37" t="s">
        <v>16</v>
      </c>
      <c r="B37">
        <v>10</v>
      </c>
      <c r="C37" t="s">
        <v>1555</v>
      </c>
      <c r="D37" t="s">
        <v>1487</v>
      </c>
      <c r="E37" t="s">
        <v>1547</v>
      </c>
    </row>
    <row r="38" spans="1:5" ht="15" customHeight="1">
      <c r="A38" t="s">
        <v>16</v>
      </c>
      <c r="B38">
        <v>11</v>
      </c>
      <c r="C38" t="s">
        <v>1556</v>
      </c>
      <c r="D38" t="s">
        <v>1488</v>
      </c>
      <c r="E38" t="s">
        <v>1547</v>
      </c>
    </row>
    <row r="39" spans="1:5" ht="15" customHeight="1">
      <c r="A39" t="s">
        <v>16</v>
      </c>
      <c r="B39">
        <v>12</v>
      </c>
      <c r="C39" t="s">
        <v>1557</v>
      </c>
      <c r="D39" t="s">
        <v>1487</v>
      </c>
      <c r="E39" t="s">
        <v>1547</v>
      </c>
    </row>
    <row r="40" spans="1:5" ht="15" customHeight="1">
      <c r="A40" t="s">
        <v>16</v>
      </c>
      <c r="B40">
        <v>13</v>
      </c>
      <c r="C40" t="s">
        <v>1558</v>
      </c>
      <c r="D40" t="s">
        <v>1488</v>
      </c>
      <c r="E40" t="s">
        <v>1559</v>
      </c>
    </row>
    <row r="41" spans="1:5" ht="15" customHeight="1">
      <c r="A41" t="s">
        <v>16</v>
      </c>
      <c r="B41">
        <v>14</v>
      </c>
      <c r="C41" t="s">
        <v>1560</v>
      </c>
      <c r="D41" t="s">
        <v>1487</v>
      </c>
      <c r="E41" t="s">
        <v>1547</v>
      </c>
    </row>
    <row r="42" spans="1:5" ht="15" customHeight="1">
      <c r="A42" t="s">
        <v>16</v>
      </c>
      <c r="B42">
        <v>15</v>
      </c>
      <c r="C42" t="s">
        <v>1561</v>
      </c>
      <c r="D42" t="s">
        <v>1488</v>
      </c>
      <c r="E42" t="s">
        <v>1547</v>
      </c>
    </row>
    <row r="43" spans="1:5" ht="15" customHeight="1">
      <c r="A43" t="s">
        <v>16</v>
      </c>
      <c r="B43">
        <v>16</v>
      </c>
      <c r="C43" t="s">
        <v>1562</v>
      </c>
      <c r="D43" t="s">
        <v>1487</v>
      </c>
      <c r="E43" t="s">
        <v>1547</v>
      </c>
    </row>
    <row r="44" spans="1:5" ht="15" customHeight="1">
      <c r="A44" t="s">
        <v>16</v>
      </c>
      <c r="B44">
        <v>17</v>
      </c>
      <c r="C44" t="s">
        <v>1563</v>
      </c>
      <c r="D44" t="s">
        <v>1488</v>
      </c>
      <c r="E44" t="s">
        <v>1547</v>
      </c>
    </row>
    <row r="45" spans="1:5" ht="15" customHeight="1">
      <c r="A45" t="s">
        <v>16</v>
      </c>
      <c r="B45">
        <v>18</v>
      </c>
      <c r="C45" t="s">
        <v>1564</v>
      </c>
      <c r="D45" t="s">
        <v>1488</v>
      </c>
      <c r="E45" t="s">
        <v>1547</v>
      </c>
    </row>
    <row r="46" spans="1:5" ht="15" customHeight="1">
      <c r="A46" t="s">
        <v>16</v>
      </c>
      <c r="B46">
        <v>19</v>
      </c>
      <c r="C46" t="s">
        <v>1565</v>
      </c>
      <c r="D46" t="s">
        <v>1487</v>
      </c>
      <c r="E46" t="s">
        <v>1547</v>
      </c>
    </row>
    <row r="47" spans="1:5" ht="15" customHeight="1">
      <c r="A47" t="s">
        <v>16</v>
      </c>
      <c r="B47">
        <v>20</v>
      </c>
      <c r="C47" t="s">
        <v>1566</v>
      </c>
      <c r="D47" t="s">
        <v>1488</v>
      </c>
      <c r="E47" t="s">
        <v>1547</v>
      </c>
    </row>
    <row r="48" spans="1:5" ht="15" customHeight="1">
      <c r="A48" t="s">
        <v>10</v>
      </c>
      <c r="B48">
        <v>1</v>
      </c>
      <c r="C48" t="s">
        <v>1567</v>
      </c>
      <c r="D48" t="s">
        <v>1488</v>
      </c>
      <c r="E48" t="s">
        <v>1568</v>
      </c>
    </row>
    <row r="49" spans="1:5" ht="15" customHeight="1">
      <c r="A49" t="s">
        <v>10</v>
      </c>
      <c r="B49">
        <v>2</v>
      </c>
      <c r="C49" t="s">
        <v>1569</v>
      </c>
      <c r="D49" t="s">
        <v>1488</v>
      </c>
      <c r="E49" t="s">
        <v>1570</v>
      </c>
    </row>
    <row r="50" spans="1:5" ht="15" customHeight="1">
      <c r="A50" t="s">
        <v>10</v>
      </c>
      <c r="B50">
        <v>3</v>
      </c>
      <c r="C50" t="s">
        <v>1571</v>
      </c>
      <c r="D50" t="s">
        <v>1488</v>
      </c>
      <c r="E50" t="s">
        <v>1572</v>
      </c>
    </row>
    <row r="51" spans="1:5" ht="15" customHeight="1">
      <c r="A51" t="s">
        <v>10</v>
      </c>
      <c r="B51">
        <v>4</v>
      </c>
      <c r="C51" t="s">
        <v>1573</v>
      </c>
      <c r="D51" t="s">
        <v>1488</v>
      </c>
      <c r="E51" t="s">
        <v>1572</v>
      </c>
    </row>
    <row r="52" spans="1:5" ht="15" customHeight="1">
      <c r="A52" t="s">
        <v>10</v>
      </c>
      <c r="B52">
        <v>5</v>
      </c>
      <c r="C52" t="s">
        <v>1574</v>
      </c>
      <c r="D52" t="s">
        <v>1487</v>
      </c>
      <c r="E52" t="s">
        <v>1572</v>
      </c>
    </row>
    <row r="53" spans="1:5" ht="15" customHeight="1">
      <c r="A53" t="s">
        <v>10</v>
      </c>
      <c r="B53">
        <v>6</v>
      </c>
      <c r="C53" t="s">
        <v>1575</v>
      </c>
      <c r="D53" t="s">
        <v>1488</v>
      </c>
      <c r="E53" t="s">
        <v>1570</v>
      </c>
    </row>
    <row r="54" spans="1:5" ht="15" customHeight="1">
      <c r="A54" t="s">
        <v>10</v>
      </c>
      <c r="B54">
        <v>7</v>
      </c>
      <c r="C54" t="s">
        <v>1576</v>
      </c>
      <c r="D54" t="s">
        <v>1488</v>
      </c>
      <c r="E54" t="s">
        <v>1570</v>
      </c>
    </row>
    <row r="55" spans="1:5" ht="15" customHeight="1">
      <c r="A55" t="s">
        <v>10</v>
      </c>
      <c r="B55">
        <v>8</v>
      </c>
      <c r="C55" t="s">
        <v>1577</v>
      </c>
      <c r="D55" t="s">
        <v>1488</v>
      </c>
      <c r="E55" t="s">
        <v>1570</v>
      </c>
    </row>
    <row r="56" spans="1:5" ht="15" customHeight="1">
      <c r="A56" t="s">
        <v>10</v>
      </c>
      <c r="B56">
        <v>9</v>
      </c>
      <c r="C56" t="s">
        <v>1578</v>
      </c>
      <c r="D56" t="s">
        <v>1487</v>
      </c>
      <c r="E56" t="s">
        <v>1572</v>
      </c>
    </row>
    <row r="57" spans="1:5" ht="15" customHeight="1">
      <c r="A57" t="s">
        <v>10</v>
      </c>
      <c r="B57">
        <v>10</v>
      </c>
      <c r="C57" t="s">
        <v>1579</v>
      </c>
      <c r="D57" t="s">
        <v>1488</v>
      </c>
      <c r="E57" t="s">
        <v>1570</v>
      </c>
    </row>
    <row r="58" spans="1:5" ht="15" customHeight="1">
      <c r="A58" t="s">
        <v>10</v>
      </c>
      <c r="B58">
        <v>11</v>
      </c>
      <c r="C58" t="s">
        <v>1580</v>
      </c>
      <c r="D58" t="s">
        <v>1488</v>
      </c>
      <c r="E58" t="s">
        <v>1572</v>
      </c>
    </row>
    <row r="59" spans="1:5" ht="15" customHeight="1">
      <c r="A59" t="s">
        <v>10</v>
      </c>
      <c r="B59">
        <v>12</v>
      </c>
      <c r="C59" t="s">
        <v>1581</v>
      </c>
      <c r="D59" t="s">
        <v>1488</v>
      </c>
      <c r="E59" t="s">
        <v>1570</v>
      </c>
    </row>
    <row r="60" spans="1:5" ht="15" customHeight="1">
      <c r="A60" t="s">
        <v>10</v>
      </c>
      <c r="B60">
        <v>13</v>
      </c>
      <c r="C60" t="s">
        <v>1582</v>
      </c>
      <c r="D60" t="s">
        <v>1488</v>
      </c>
      <c r="E60" t="s">
        <v>1570</v>
      </c>
    </row>
    <row r="61" spans="1:5" ht="15" customHeight="1">
      <c r="A61" t="s">
        <v>10</v>
      </c>
      <c r="B61">
        <v>14</v>
      </c>
      <c r="C61" t="s">
        <v>1583</v>
      </c>
      <c r="D61" t="s">
        <v>1488</v>
      </c>
      <c r="E61" t="s">
        <v>1570</v>
      </c>
    </row>
    <row r="62" spans="1:5" ht="15" customHeight="1">
      <c r="A62" t="s">
        <v>10</v>
      </c>
      <c r="B62">
        <v>15</v>
      </c>
      <c r="C62" t="s">
        <v>1584</v>
      </c>
      <c r="D62" t="s">
        <v>1488</v>
      </c>
      <c r="E62" t="s">
        <v>1572</v>
      </c>
    </row>
    <row r="63" spans="1:5" ht="15" customHeight="1">
      <c r="A63" t="s">
        <v>10</v>
      </c>
      <c r="B63">
        <v>16</v>
      </c>
      <c r="C63" t="s">
        <v>1585</v>
      </c>
      <c r="D63" t="s">
        <v>1488</v>
      </c>
      <c r="E63" t="s">
        <v>1572</v>
      </c>
    </row>
    <row r="64" spans="1:5" ht="15" customHeight="1">
      <c r="A64" t="s">
        <v>10</v>
      </c>
      <c r="B64">
        <v>17</v>
      </c>
      <c r="C64" t="s">
        <v>1586</v>
      </c>
      <c r="D64" t="s">
        <v>1488</v>
      </c>
      <c r="E64" t="s">
        <v>1570</v>
      </c>
    </row>
    <row r="65" spans="1:5" ht="15" customHeight="1">
      <c r="A65" t="s">
        <v>10</v>
      </c>
      <c r="B65">
        <v>18</v>
      </c>
      <c r="C65" t="s">
        <v>1587</v>
      </c>
      <c r="D65" t="s">
        <v>1488</v>
      </c>
      <c r="E65" t="s">
        <v>1570</v>
      </c>
    </row>
    <row r="66" spans="1:5" ht="15" customHeight="1">
      <c r="A66" t="s">
        <v>10</v>
      </c>
      <c r="B66">
        <v>19</v>
      </c>
      <c r="C66" t="s">
        <v>1588</v>
      </c>
      <c r="D66" t="s">
        <v>1488</v>
      </c>
      <c r="E66" t="s">
        <v>1570</v>
      </c>
    </row>
    <row r="67" spans="1:5" ht="15" customHeight="1">
      <c r="A67" t="s">
        <v>10</v>
      </c>
      <c r="B67">
        <v>20</v>
      </c>
      <c r="C67" t="s">
        <v>1589</v>
      </c>
      <c r="D67" t="s">
        <v>1487</v>
      </c>
      <c r="E67" t="s">
        <v>1590</v>
      </c>
    </row>
    <row r="68" spans="1:5" ht="15" customHeight="1">
      <c r="A68" t="s">
        <v>10</v>
      </c>
      <c r="B68">
        <v>21</v>
      </c>
      <c r="C68" t="s">
        <v>1591</v>
      </c>
      <c r="D68" t="s">
        <v>1488</v>
      </c>
      <c r="E68" t="s">
        <v>1570</v>
      </c>
    </row>
    <row r="69" spans="1:5" ht="15" customHeight="1">
      <c r="A69" t="s">
        <v>10</v>
      </c>
      <c r="B69">
        <v>22</v>
      </c>
      <c r="C69" t="s">
        <v>1592</v>
      </c>
      <c r="D69" t="s">
        <v>1488</v>
      </c>
      <c r="E69" t="s">
        <v>1570</v>
      </c>
    </row>
    <row r="70" spans="1:5" ht="15" customHeight="1">
      <c r="A70" t="s">
        <v>10</v>
      </c>
      <c r="B70">
        <v>23</v>
      </c>
      <c r="C70" t="s">
        <v>1593</v>
      </c>
      <c r="D70" t="s">
        <v>1488</v>
      </c>
      <c r="E70" t="s">
        <v>1570</v>
      </c>
    </row>
    <row r="71" spans="1:5" ht="15" customHeight="1">
      <c r="A71" t="s">
        <v>10</v>
      </c>
      <c r="B71">
        <v>24</v>
      </c>
      <c r="C71" t="s">
        <v>1594</v>
      </c>
      <c r="D71" t="s">
        <v>1488</v>
      </c>
      <c r="E71" t="s">
        <v>1570</v>
      </c>
    </row>
    <row r="72" spans="1:5" ht="15" customHeight="1">
      <c r="A72" t="s">
        <v>10</v>
      </c>
      <c r="B72">
        <v>25</v>
      </c>
      <c r="C72" t="s">
        <v>1595</v>
      </c>
      <c r="D72" t="s">
        <v>1487</v>
      </c>
      <c r="E72" t="s">
        <v>1570</v>
      </c>
    </row>
    <row r="73" spans="1:5" ht="15" customHeight="1">
      <c r="A73" t="s">
        <v>10</v>
      </c>
      <c r="B73">
        <v>26</v>
      </c>
      <c r="C73" t="s">
        <v>1596</v>
      </c>
      <c r="D73" t="s">
        <v>1488</v>
      </c>
      <c r="E73" t="s">
        <v>1572</v>
      </c>
    </row>
    <row r="74" spans="1:5" ht="15" customHeight="1">
      <c r="A74" t="s">
        <v>10</v>
      </c>
      <c r="B74">
        <v>27</v>
      </c>
      <c r="C74" t="s">
        <v>1597</v>
      </c>
      <c r="D74" t="s">
        <v>1488</v>
      </c>
      <c r="E74" t="s">
        <v>1598</v>
      </c>
    </row>
    <row r="75" spans="1:5" ht="15" customHeight="1">
      <c r="A75" t="s">
        <v>10</v>
      </c>
      <c r="B75">
        <v>28</v>
      </c>
      <c r="C75" t="s">
        <v>1599</v>
      </c>
      <c r="D75" t="s">
        <v>1488</v>
      </c>
      <c r="E75" t="s">
        <v>1600</v>
      </c>
    </row>
    <row r="76" spans="1:5" ht="15" customHeight="1">
      <c r="A76" t="s">
        <v>10</v>
      </c>
      <c r="B76">
        <v>29</v>
      </c>
      <c r="C76" t="s">
        <v>1601</v>
      </c>
      <c r="D76" t="s">
        <v>1488</v>
      </c>
      <c r="E76" t="s">
        <v>1572</v>
      </c>
    </row>
    <row r="77" spans="1:5" ht="15" customHeight="1">
      <c r="A77" t="s">
        <v>10</v>
      </c>
      <c r="B77">
        <v>30</v>
      </c>
      <c r="C77" t="s">
        <v>1602</v>
      </c>
      <c r="D77" t="s">
        <v>1488</v>
      </c>
      <c r="E77" t="s">
        <v>1603</v>
      </c>
    </row>
    <row r="78" spans="1:5" ht="15" customHeight="1">
      <c r="A78" t="s">
        <v>10</v>
      </c>
      <c r="B78">
        <v>31</v>
      </c>
      <c r="C78" t="s">
        <v>1604</v>
      </c>
      <c r="D78" t="s">
        <v>1488</v>
      </c>
      <c r="E78" t="s">
        <v>1605</v>
      </c>
    </row>
    <row r="79" spans="1:5" ht="15" customHeight="1">
      <c r="A79" t="s">
        <v>10</v>
      </c>
      <c r="B79">
        <v>32</v>
      </c>
      <c r="C79" t="s">
        <v>1606</v>
      </c>
      <c r="D79" t="s">
        <v>1488</v>
      </c>
      <c r="E79" t="s">
        <v>1570</v>
      </c>
    </row>
    <row r="80" spans="1:5" ht="15" customHeight="1">
      <c r="A80" t="s">
        <v>10</v>
      </c>
      <c r="B80">
        <v>33</v>
      </c>
      <c r="C80" t="s">
        <v>1607</v>
      </c>
      <c r="D80" t="s">
        <v>1488</v>
      </c>
      <c r="E80" t="s">
        <v>1570</v>
      </c>
    </row>
    <row r="81" spans="1:5" ht="15" customHeight="1">
      <c r="A81" t="s">
        <v>10</v>
      </c>
      <c r="B81">
        <v>34</v>
      </c>
      <c r="C81" t="s">
        <v>1608</v>
      </c>
      <c r="D81" t="s">
        <v>1487</v>
      </c>
      <c r="E81" t="s">
        <v>1609</v>
      </c>
    </row>
    <row r="82" spans="1:5" ht="15" customHeight="1">
      <c r="A82" t="s">
        <v>10</v>
      </c>
      <c r="B82">
        <v>35</v>
      </c>
      <c r="C82" t="s">
        <v>1610</v>
      </c>
      <c r="D82" t="s">
        <v>1488</v>
      </c>
      <c r="E82" t="s">
        <v>1611</v>
      </c>
    </row>
    <row r="83" spans="1:5" ht="15" customHeight="1">
      <c r="A83" t="s">
        <v>10</v>
      </c>
      <c r="B83">
        <v>36</v>
      </c>
      <c r="C83" t="s">
        <v>1612</v>
      </c>
      <c r="D83" t="s">
        <v>1488</v>
      </c>
      <c r="E83" t="s">
        <v>1570</v>
      </c>
    </row>
    <row r="84" spans="1:5" ht="15" customHeight="1">
      <c r="A84" t="s">
        <v>23</v>
      </c>
      <c r="B84">
        <v>1</v>
      </c>
      <c r="C84" t="s">
        <v>1613</v>
      </c>
      <c r="D84" t="s">
        <v>1488</v>
      </c>
      <c r="E84" t="s">
        <v>1614</v>
      </c>
    </row>
    <row r="85" spans="1:5" ht="15" customHeight="1">
      <c r="A85" t="s">
        <v>23</v>
      </c>
      <c r="B85">
        <v>2</v>
      </c>
      <c r="C85" t="s">
        <v>1615</v>
      </c>
      <c r="D85" t="s">
        <v>1488</v>
      </c>
      <c r="E85" t="s">
        <v>1616</v>
      </c>
    </row>
    <row r="86" spans="1:5" ht="15" customHeight="1">
      <c r="A86" t="s">
        <v>23</v>
      </c>
      <c r="B86">
        <v>3</v>
      </c>
      <c r="C86" t="s">
        <v>1617</v>
      </c>
      <c r="D86" t="s">
        <v>1487</v>
      </c>
      <c r="E86" t="s">
        <v>1618</v>
      </c>
    </row>
    <row r="87" spans="1:5" ht="15" customHeight="1">
      <c r="A87" t="s">
        <v>23</v>
      </c>
      <c r="B87">
        <v>4</v>
      </c>
      <c r="C87" t="s">
        <v>1619</v>
      </c>
      <c r="D87" t="s">
        <v>1488</v>
      </c>
      <c r="E87" t="s">
        <v>1620</v>
      </c>
    </row>
    <row r="88" spans="1:5" ht="15" customHeight="1">
      <c r="A88" t="s">
        <v>23</v>
      </c>
      <c r="B88">
        <v>5</v>
      </c>
      <c r="C88" t="s">
        <v>1621</v>
      </c>
      <c r="D88" t="s">
        <v>1488</v>
      </c>
      <c r="E88" t="s">
        <v>1622</v>
      </c>
    </row>
    <row r="89" spans="1:5" ht="15" customHeight="1">
      <c r="A89" t="s">
        <v>23</v>
      </c>
      <c r="B89">
        <v>6</v>
      </c>
      <c r="C89" t="s">
        <v>1623</v>
      </c>
      <c r="D89" t="s">
        <v>1488</v>
      </c>
      <c r="E89" t="s">
        <v>1624</v>
      </c>
    </row>
    <row r="90" spans="1:5" ht="15" customHeight="1">
      <c r="A90" t="s">
        <v>23</v>
      </c>
      <c r="B90">
        <v>7</v>
      </c>
      <c r="C90" t="s">
        <v>1625</v>
      </c>
      <c r="D90" t="s">
        <v>1488</v>
      </c>
      <c r="E90" t="s">
        <v>1622</v>
      </c>
    </row>
    <row r="91" spans="1:5" ht="15" customHeight="1">
      <c r="A91" t="s">
        <v>23</v>
      </c>
      <c r="B91">
        <v>8</v>
      </c>
      <c r="C91" t="s">
        <v>1626</v>
      </c>
      <c r="D91" t="s">
        <v>1488</v>
      </c>
      <c r="E91" t="s">
        <v>1627</v>
      </c>
    </row>
    <row r="92" spans="1:5" ht="15" customHeight="1">
      <c r="A92" t="s">
        <v>23</v>
      </c>
      <c r="B92">
        <v>9</v>
      </c>
      <c r="C92" t="s">
        <v>1628</v>
      </c>
      <c r="D92" t="s">
        <v>1487</v>
      </c>
      <c r="E92" t="s">
        <v>1622</v>
      </c>
    </row>
    <row r="93" spans="1:5" ht="15" customHeight="1">
      <c r="A93" t="s">
        <v>23</v>
      </c>
      <c r="B93">
        <v>10</v>
      </c>
      <c r="C93" t="s">
        <v>1629</v>
      </c>
      <c r="D93" t="s">
        <v>1488</v>
      </c>
      <c r="E93" t="s">
        <v>1622</v>
      </c>
    </row>
    <row r="94" spans="1:5" ht="15" customHeight="1">
      <c r="A94" t="s">
        <v>23</v>
      </c>
      <c r="B94">
        <v>11</v>
      </c>
      <c r="C94" t="s">
        <v>1630</v>
      </c>
      <c r="D94" t="s">
        <v>1487</v>
      </c>
      <c r="E94" t="s">
        <v>1622</v>
      </c>
    </row>
    <row r="95" spans="1:5" ht="15" customHeight="1">
      <c r="A95" t="s">
        <v>23</v>
      </c>
      <c r="B95">
        <v>12</v>
      </c>
      <c r="C95" t="s">
        <v>1631</v>
      </c>
      <c r="D95" t="s">
        <v>1487</v>
      </c>
      <c r="E95" t="s">
        <v>1622</v>
      </c>
    </row>
    <row r="96" spans="1:5" ht="15" customHeight="1">
      <c r="A96" t="s">
        <v>23</v>
      </c>
      <c r="B96">
        <v>13</v>
      </c>
      <c r="C96" t="s">
        <v>1632</v>
      </c>
      <c r="D96" t="s">
        <v>1488</v>
      </c>
      <c r="E96" t="s">
        <v>1622</v>
      </c>
    </row>
    <row r="97" spans="1:5" ht="15" customHeight="1">
      <c r="A97" t="s">
        <v>23</v>
      </c>
      <c r="B97">
        <v>14</v>
      </c>
      <c r="C97" t="s">
        <v>1633</v>
      </c>
      <c r="D97" t="s">
        <v>1488</v>
      </c>
      <c r="E97" t="s">
        <v>1622</v>
      </c>
    </row>
    <row r="98" spans="1:5" ht="15" customHeight="1">
      <c r="A98" t="s">
        <v>23</v>
      </c>
      <c r="B98">
        <v>15</v>
      </c>
      <c r="C98" t="s">
        <v>1634</v>
      </c>
      <c r="D98" t="s">
        <v>1488</v>
      </c>
      <c r="E98" t="s">
        <v>1622</v>
      </c>
    </row>
    <row r="99" spans="1:5" ht="15" customHeight="1">
      <c r="A99" t="s">
        <v>23</v>
      </c>
      <c r="B99">
        <v>16</v>
      </c>
      <c r="C99" t="s">
        <v>1635</v>
      </c>
      <c r="D99" t="s">
        <v>1488</v>
      </c>
      <c r="E99" t="s">
        <v>1627</v>
      </c>
    </row>
    <row r="100" spans="1:5" ht="15" customHeight="1">
      <c r="A100" t="s">
        <v>23</v>
      </c>
      <c r="B100">
        <v>17</v>
      </c>
      <c r="C100" t="s">
        <v>1636</v>
      </c>
      <c r="D100" t="s">
        <v>1488</v>
      </c>
      <c r="E100" t="s">
        <v>1627</v>
      </c>
    </row>
    <row r="101" spans="1:5" ht="15" customHeight="1">
      <c r="A101" t="s">
        <v>23</v>
      </c>
      <c r="B101">
        <v>18</v>
      </c>
      <c r="C101" t="s">
        <v>1637</v>
      </c>
      <c r="D101" t="s">
        <v>1488</v>
      </c>
      <c r="E101" t="s">
        <v>1622</v>
      </c>
    </row>
    <row r="102" spans="1:5" ht="15" customHeight="1">
      <c r="A102" t="s">
        <v>23</v>
      </c>
      <c r="B102">
        <v>19</v>
      </c>
      <c r="C102" t="s">
        <v>1638</v>
      </c>
      <c r="D102" t="s">
        <v>1488</v>
      </c>
      <c r="E102" t="s">
        <v>1622</v>
      </c>
    </row>
    <row r="103" spans="1:5" ht="15" customHeight="1">
      <c r="A103" t="s">
        <v>23</v>
      </c>
      <c r="B103">
        <v>20</v>
      </c>
      <c r="C103" t="s">
        <v>1639</v>
      </c>
      <c r="D103" t="s">
        <v>1487</v>
      </c>
      <c r="E103" t="s">
        <v>1627</v>
      </c>
    </row>
    <row r="104" spans="1:5" ht="15" customHeight="1">
      <c r="A104" t="s">
        <v>1513</v>
      </c>
      <c r="B104">
        <v>1</v>
      </c>
      <c r="C104" t="s">
        <v>1640</v>
      </c>
      <c r="D104" t="s">
        <v>1488</v>
      </c>
      <c r="E104" t="s">
        <v>1641</v>
      </c>
    </row>
    <row r="105" spans="1:5" ht="15" customHeight="1">
      <c r="A105" t="s">
        <v>1513</v>
      </c>
      <c r="B105">
        <v>2</v>
      </c>
      <c r="C105" t="s">
        <v>1642</v>
      </c>
      <c r="D105" t="s">
        <v>1488</v>
      </c>
      <c r="E105" t="s">
        <v>1641</v>
      </c>
    </row>
    <row r="106" spans="1:5" ht="15" customHeight="1">
      <c r="A106" t="s">
        <v>1513</v>
      </c>
      <c r="B106">
        <v>3</v>
      </c>
      <c r="C106" t="s">
        <v>1643</v>
      </c>
      <c r="D106" t="s">
        <v>1487</v>
      </c>
      <c r="E106" t="s">
        <v>1641</v>
      </c>
    </row>
    <row r="107" spans="1:5" ht="15" customHeight="1">
      <c r="A107" t="s">
        <v>1513</v>
      </c>
      <c r="B107">
        <v>4</v>
      </c>
      <c r="C107" t="s">
        <v>1644</v>
      </c>
      <c r="D107" t="s">
        <v>1487</v>
      </c>
      <c r="E107" t="s">
        <v>1641</v>
      </c>
    </row>
    <row r="108" spans="1:5" ht="15" customHeight="1">
      <c r="A108" t="s">
        <v>1513</v>
      </c>
      <c r="B108">
        <v>5</v>
      </c>
      <c r="C108" t="s">
        <v>1645</v>
      </c>
      <c r="D108" t="s">
        <v>1488</v>
      </c>
    </row>
    <row r="109" spans="1:5" ht="15" customHeight="1">
      <c r="A109" t="s">
        <v>1513</v>
      </c>
      <c r="B109">
        <v>6</v>
      </c>
      <c r="C109" t="s">
        <v>1646</v>
      </c>
      <c r="D109" t="s">
        <v>1488</v>
      </c>
    </row>
    <row r="110" spans="1:5" ht="15" customHeight="1">
      <c r="A110" t="s">
        <v>1513</v>
      </c>
      <c r="B110">
        <v>7</v>
      </c>
      <c r="C110" t="s">
        <v>1647</v>
      </c>
      <c r="D110" t="s">
        <v>1488</v>
      </c>
    </row>
    <row r="111" spans="1:5" ht="15" customHeight="1">
      <c r="A111" t="s">
        <v>17</v>
      </c>
      <c r="B111">
        <v>1</v>
      </c>
      <c r="C111" t="s">
        <v>1648</v>
      </c>
      <c r="D111" t="s">
        <v>1488</v>
      </c>
      <c r="E111" t="s">
        <v>1649</v>
      </c>
    </row>
    <row r="112" spans="1:5" ht="15" customHeight="1">
      <c r="A112" t="s">
        <v>17</v>
      </c>
      <c r="B112">
        <v>2</v>
      </c>
      <c r="C112" t="s">
        <v>1650</v>
      </c>
      <c r="D112" t="s">
        <v>1488</v>
      </c>
      <c r="E112" t="s">
        <v>1649</v>
      </c>
    </row>
    <row r="113" spans="1:5" ht="15" customHeight="1">
      <c r="A113" t="s">
        <v>17</v>
      </c>
      <c r="B113">
        <v>3</v>
      </c>
      <c r="C113" t="s">
        <v>1651</v>
      </c>
      <c r="D113" t="s">
        <v>1487</v>
      </c>
      <c r="E113" t="s">
        <v>1649</v>
      </c>
    </row>
    <row r="114" spans="1:5" ht="15" customHeight="1">
      <c r="A114" t="s">
        <v>17</v>
      </c>
      <c r="B114">
        <v>4</v>
      </c>
      <c r="C114" t="s">
        <v>1652</v>
      </c>
      <c r="D114" t="s">
        <v>1488</v>
      </c>
      <c r="E114" t="s">
        <v>1649</v>
      </c>
    </row>
    <row r="115" spans="1:5" ht="15" customHeight="1">
      <c r="A115" t="s">
        <v>17</v>
      </c>
      <c r="B115">
        <v>5</v>
      </c>
      <c r="C115" t="s">
        <v>1653</v>
      </c>
      <c r="D115" t="s">
        <v>1488</v>
      </c>
      <c r="E115" t="s">
        <v>1649</v>
      </c>
    </row>
    <row r="116" spans="1:5" ht="15" customHeight="1">
      <c r="A116" t="s">
        <v>17</v>
      </c>
      <c r="B116">
        <v>6</v>
      </c>
      <c r="C116" t="s">
        <v>1654</v>
      </c>
      <c r="D116" t="s">
        <v>1488</v>
      </c>
      <c r="E116" t="s">
        <v>1649</v>
      </c>
    </row>
    <row r="117" spans="1:5" ht="15" customHeight="1">
      <c r="A117" t="s">
        <v>17</v>
      </c>
      <c r="B117">
        <v>7</v>
      </c>
      <c r="C117" t="s">
        <v>1655</v>
      </c>
      <c r="D117" t="s">
        <v>1488</v>
      </c>
      <c r="E117" t="s">
        <v>1649</v>
      </c>
    </row>
    <row r="118" spans="1:5" ht="15" customHeight="1">
      <c r="A118" t="s">
        <v>17</v>
      </c>
      <c r="B118">
        <v>8</v>
      </c>
      <c r="C118" t="s">
        <v>1656</v>
      </c>
      <c r="D118" t="s">
        <v>1488</v>
      </c>
      <c r="E118" t="s">
        <v>1649</v>
      </c>
    </row>
    <row r="119" spans="1:5" ht="15" customHeight="1">
      <c r="A119" t="s">
        <v>17</v>
      </c>
      <c r="B119">
        <v>9</v>
      </c>
      <c r="C119" t="s">
        <v>1657</v>
      </c>
      <c r="D119" t="s">
        <v>1487</v>
      </c>
    </row>
    <row r="120" spans="1:5" ht="15" customHeight="1">
      <c r="A120" t="s">
        <v>17</v>
      </c>
      <c r="B120">
        <v>10</v>
      </c>
      <c r="C120" t="s">
        <v>1658</v>
      </c>
      <c r="D120" t="s">
        <v>1487</v>
      </c>
    </row>
    <row r="121" spans="1:5" ht="15" customHeight="1">
      <c r="A121" t="s">
        <v>17</v>
      </c>
      <c r="B121">
        <v>11</v>
      </c>
      <c r="C121" t="s">
        <v>1659</v>
      </c>
      <c r="D121" t="s">
        <v>1488</v>
      </c>
    </row>
    <row r="122" spans="1:5" ht="15" customHeight="1">
      <c r="A122" t="s">
        <v>17</v>
      </c>
      <c r="B122">
        <v>12</v>
      </c>
      <c r="C122" t="s">
        <v>1660</v>
      </c>
      <c r="D122" t="s">
        <v>1488</v>
      </c>
    </row>
    <row r="123" spans="1:5" ht="15" customHeight="1">
      <c r="A123" t="s">
        <v>17</v>
      </c>
      <c r="B123">
        <v>13</v>
      </c>
      <c r="C123" t="s">
        <v>1661</v>
      </c>
      <c r="D123" t="s">
        <v>1488</v>
      </c>
    </row>
    <row r="124" spans="1:5" ht="15" customHeight="1">
      <c r="A124" t="s">
        <v>17</v>
      </c>
      <c r="B124">
        <v>14</v>
      </c>
      <c r="C124" t="s">
        <v>1662</v>
      </c>
      <c r="D124" t="s">
        <v>1488</v>
      </c>
    </row>
    <row r="125" spans="1:5" ht="15" customHeight="1">
      <c r="A125" t="s">
        <v>17</v>
      </c>
      <c r="B125">
        <v>15</v>
      </c>
      <c r="C125" t="s">
        <v>1663</v>
      </c>
      <c r="D125" t="s">
        <v>1488</v>
      </c>
    </row>
    <row r="126" spans="1:5" ht="15" customHeight="1">
      <c r="A126" t="s">
        <v>17</v>
      </c>
      <c r="B126">
        <v>16</v>
      </c>
      <c r="C126" t="s">
        <v>1664</v>
      </c>
      <c r="D126" t="s">
        <v>1488</v>
      </c>
    </row>
    <row r="127" spans="1:5" ht="15" customHeight="1">
      <c r="A127" t="s">
        <v>17</v>
      </c>
      <c r="B127">
        <v>17</v>
      </c>
      <c r="C127" t="s">
        <v>1665</v>
      </c>
      <c r="D127" t="s">
        <v>1487</v>
      </c>
    </row>
    <row r="128" spans="1:5" ht="15" customHeight="1">
      <c r="A128" t="s">
        <v>17</v>
      </c>
      <c r="B128">
        <v>18</v>
      </c>
      <c r="C128" t="s">
        <v>1666</v>
      </c>
      <c r="D128" t="s">
        <v>1488</v>
      </c>
    </row>
    <row r="129" spans="1:5" ht="15" customHeight="1">
      <c r="A129" t="s">
        <v>14</v>
      </c>
      <c r="B129">
        <v>1</v>
      </c>
      <c r="C129" t="s">
        <v>1667</v>
      </c>
      <c r="D129" t="s">
        <v>1488</v>
      </c>
      <c r="E129" t="s">
        <v>1668</v>
      </c>
    </row>
    <row r="130" spans="1:5" ht="15" customHeight="1">
      <c r="A130" t="s">
        <v>14</v>
      </c>
      <c r="B130">
        <v>2</v>
      </c>
      <c r="C130" t="s">
        <v>1669</v>
      </c>
      <c r="D130" t="s">
        <v>1488</v>
      </c>
      <c r="E130" t="s">
        <v>1668</v>
      </c>
    </row>
    <row r="131" spans="1:5" ht="15" customHeight="1">
      <c r="A131" t="s">
        <v>14</v>
      </c>
      <c r="B131">
        <v>3</v>
      </c>
      <c r="C131" t="s">
        <v>1670</v>
      </c>
      <c r="D131" t="s">
        <v>1488</v>
      </c>
      <c r="E131" t="s">
        <v>1668</v>
      </c>
    </row>
    <row r="132" spans="1:5" ht="15" customHeight="1">
      <c r="A132" t="s">
        <v>14</v>
      </c>
      <c r="B132">
        <v>4</v>
      </c>
      <c r="C132" t="s">
        <v>1671</v>
      </c>
      <c r="D132" t="s">
        <v>1488</v>
      </c>
      <c r="E132" t="s">
        <v>1668</v>
      </c>
    </row>
    <row r="133" spans="1:5" ht="15" customHeight="1">
      <c r="A133" t="s">
        <v>14</v>
      </c>
      <c r="B133">
        <v>5</v>
      </c>
      <c r="C133" t="s">
        <v>1672</v>
      </c>
      <c r="D133" t="s">
        <v>1488</v>
      </c>
      <c r="E133" t="s">
        <v>1668</v>
      </c>
    </row>
    <row r="134" spans="1:5" ht="15" customHeight="1">
      <c r="A134" t="s">
        <v>14</v>
      </c>
      <c r="B134">
        <v>6</v>
      </c>
      <c r="C134" t="s">
        <v>1673</v>
      </c>
      <c r="D134" t="s">
        <v>1488</v>
      </c>
      <c r="E134" t="s">
        <v>1668</v>
      </c>
    </row>
    <row r="135" spans="1:5" ht="15" customHeight="1">
      <c r="A135" t="s">
        <v>14</v>
      </c>
      <c r="B135">
        <v>7</v>
      </c>
      <c r="C135" t="s">
        <v>1674</v>
      </c>
      <c r="D135" t="s">
        <v>1487</v>
      </c>
      <c r="E135" t="s">
        <v>1668</v>
      </c>
    </row>
    <row r="136" spans="1:5" ht="15" customHeight="1">
      <c r="A136" t="s">
        <v>14</v>
      </c>
      <c r="B136">
        <v>8</v>
      </c>
      <c r="C136" t="s">
        <v>1675</v>
      </c>
      <c r="D136" t="s">
        <v>1488</v>
      </c>
      <c r="E136" t="s">
        <v>1668</v>
      </c>
    </row>
    <row r="137" spans="1:5" ht="15" customHeight="1">
      <c r="A137" t="s">
        <v>14</v>
      </c>
      <c r="B137">
        <v>9</v>
      </c>
      <c r="C137" t="s">
        <v>1676</v>
      </c>
      <c r="D137" t="s">
        <v>1487</v>
      </c>
      <c r="E137" t="s">
        <v>1668</v>
      </c>
    </row>
    <row r="138" spans="1:5" ht="15" customHeight="1">
      <c r="A138" t="s">
        <v>14</v>
      </c>
      <c r="B138">
        <v>10</v>
      </c>
      <c r="C138" t="s">
        <v>1677</v>
      </c>
      <c r="D138" t="s">
        <v>1488</v>
      </c>
      <c r="E138" t="s">
        <v>1668</v>
      </c>
    </row>
    <row r="139" spans="1:5" ht="15" customHeight="1">
      <c r="A139" t="s">
        <v>11</v>
      </c>
      <c r="B139">
        <v>1</v>
      </c>
      <c r="C139" t="s">
        <v>1678</v>
      </c>
      <c r="D139" t="s">
        <v>1488</v>
      </c>
      <c r="E139" t="s">
        <v>1679</v>
      </c>
    </row>
    <row r="140" spans="1:5" ht="15" customHeight="1">
      <c r="A140" t="s">
        <v>11</v>
      </c>
      <c r="B140">
        <v>2</v>
      </c>
      <c r="C140" t="s">
        <v>1680</v>
      </c>
      <c r="D140" t="s">
        <v>1488</v>
      </c>
      <c r="E140" t="s">
        <v>1679</v>
      </c>
    </row>
    <row r="141" spans="1:5" ht="15" customHeight="1">
      <c r="A141" t="s">
        <v>11</v>
      </c>
      <c r="B141">
        <v>3</v>
      </c>
      <c r="C141" t="s">
        <v>1681</v>
      </c>
      <c r="D141" t="s">
        <v>1488</v>
      </c>
      <c r="E141" t="s">
        <v>1679</v>
      </c>
    </row>
    <row r="142" spans="1:5" ht="15" customHeight="1">
      <c r="A142" t="s">
        <v>11</v>
      </c>
      <c r="B142">
        <v>4</v>
      </c>
      <c r="C142" t="s">
        <v>1682</v>
      </c>
      <c r="D142" t="s">
        <v>1488</v>
      </c>
      <c r="E142" t="s">
        <v>1679</v>
      </c>
    </row>
    <row r="143" spans="1:5" ht="15" customHeight="1">
      <c r="A143" t="s">
        <v>11</v>
      </c>
      <c r="B143">
        <v>5</v>
      </c>
      <c r="C143" t="s">
        <v>1683</v>
      </c>
      <c r="D143" t="s">
        <v>1488</v>
      </c>
      <c r="E143" t="s">
        <v>1679</v>
      </c>
    </row>
    <row r="144" spans="1:5" ht="15" customHeight="1">
      <c r="A144" t="s">
        <v>11</v>
      </c>
      <c r="B144">
        <v>6</v>
      </c>
      <c r="C144" t="s">
        <v>1684</v>
      </c>
      <c r="D144" t="s">
        <v>1488</v>
      </c>
      <c r="E144" t="s">
        <v>1679</v>
      </c>
    </row>
    <row r="145" spans="1:5" ht="15" customHeight="1">
      <c r="A145" t="s">
        <v>11</v>
      </c>
      <c r="B145">
        <v>7</v>
      </c>
      <c r="C145" t="s">
        <v>1685</v>
      </c>
      <c r="D145" t="s">
        <v>1488</v>
      </c>
      <c r="E145" t="s">
        <v>1679</v>
      </c>
    </row>
    <row r="146" spans="1:5" ht="15" customHeight="1">
      <c r="A146" t="s">
        <v>11</v>
      </c>
      <c r="B146">
        <v>8</v>
      </c>
      <c r="C146" t="s">
        <v>1686</v>
      </c>
      <c r="D146" t="s">
        <v>1488</v>
      </c>
      <c r="E146" t="s">
        <v>1679</v>
      </c>
    </row>
    <row r="147" spans="1:5" ht="15" customHeight="1">
      <c r="A147" t="s">
        <v>11</v>
      </c>
      <c r="B147">
        <v>9</v>
      </c>
      <c r="C147" t="s">
        <v>1687</v>
      </c>
      <c r="D147" t="s">
        <v>1488</v>
      </c>
      <c r="E147" t="s">
        <v>1679</v>
      </c>
    </row>
    <row r="148" spans="1:5" ht="15" customHeight="1">
      <c r="A148" t="s">
        <v>21</v>
      </c>
      <c r="B148">
        <v>1</v>
      </c>
      <c r="C148" t="s">
        <v>1688</v>
      </c>
      <c r="D148" t="s">
        <v>1488</v>
      </c>
    </row>
    <row r="149" spans="1:5" ht="15" customHeight="1">
      <c r="A149" t="s">
        <v>21</v>
      </c>
      <c r="B149">
        <v>2</v>
      </c>
      <c r="C149" t="s">
        <v>1689</v>
      </c>
      <c r="D149" t="s">
        <v>1488</v>
      </c>
    </row>
    <row r="150" spans="1:5">
      <c r="A150" t="s">
        <v>21</v>
      </c>
      <c r="B150">
        <v>3</v>
      </c>
      <c r="C150" t="s">
        <v>1690</v>
      </c>
      <c r="D150" t="s">
        <v>1487</v>
      </c>
    </row>
    <row r="151" spans="1:5">
      <c r="A151" t="s">
        <v>21</v>
      </c>
      <c r="B151">
        <v>4</v>
      </c>
      <c r="C151" t="s">
        <v>1691</v>
      </c>
      <c r="D151" t="s">
        <v>1487</v>
      </c>
    </row>
    <row r="152" spans="1:5">
      <c r="A152" t="s">
        <v>21</v>
      </c>
      <c r="B152">
        <v>5</v>
      </c>
      <c r="C152" t="s">
        <v>1692</v>
      </c>
      <c r="D152" t="s">
        <v>1488</v>
      </c>
    </row>
    <row r="153" spans="1:5">
      <c r="A153" t="s">
        <v>21</v>
      </c>
      <c r="B153">
        <v>6</v>
      </c>
      <c r="C153" t="s">
        <v>1693</v>
      </c>
      <c r="D153" t="s">
        <v>1488</v>
      </c>
    </row>
    <row r="154" spans="1:5">
      <c r="A154" t="s">
        <v>21</v>
      </c>
      <c r="B154">
        <v>7</v>
      </c>
      <c r="C154" t="s">
        <v>1694</v>
      </c>
      <c r="D154" t="s">
        <v>1488</v>
      </c>
    </row>
    <row r="155" spans="1:5">
      <c r="A155" t="s">
        <v>21</v>
      </c>
      <c r="B155">
        <v>8</v>
      </c>
      <c r="C155" t="s">
        <v>1695</v>
      </c>
      <c r="D155" t="s">
        <v>1487</v>
      </c>
    </row>
    <row r="156" spans="1:5">
      <c r="A156" t="s">
        <v>21</v>
      </c>
      <c r="B156">
        <v>9</v>
      </c>
      <c r="C156" t="s">
        <v>1696</v>
      </c>
      <c r="D156" t="s">
        <v>1487</v>
      </c>
    </row>
    <row r="157" spans="1:5">
      <c r="A157" t="s">
        <v>21</v>
      </c>
      <c r="B157">
        <v>10</v>
      </c>
      <c r="C157" t="s">
        <v>1697</v>
      </c>
      <c r="D157" t="s">
        <v>1487</v>
      </c>
    </row>
    <row r="158" spans="1:5">
      <c r="A158" t="s">
        <v>21</v>
      </c>
      <c r="B158">
        <v>11</v>
      </c>
      <c r="C158" t="s">
        <v>1698</v>
      </c>
      <c r="D158" t="s">
        <v>1487</v>
      </c>
    </row>
    <row r="159" spans="1:5">
      <c r="A159" t="s">
        <v>21</v>
      </c>
      <c r="B159">
        <v>12</v>
      </c>
      <c r="C159" t="s">
        <v>1699</v>
      </c>
      <c r="D159" t="s">
        <v>1488</v>
      </c>
    </row>
    <row r="160" spans="1:5">
      <c r="A160" t="s">
        <v>21</v>
      </c>
      <c r="B160">
        <v>13</v>
      </c>
      <c r="C160" t="s">
        <v>1700</v>
      </c>
      <c r="D160" t="s">
        <v>1488</v>
      </c>
    </row>
    <row r="161" spans="1:4">
      <c r="A161" t="s">
        <v>21</v>
      </c>
      <c r="B161">
        <v>14</v>
      </c>
      <c r="C161" t="s">
        <v>1701</v>
      </c>
      <c r="D161" t="s">
        <v>1487</v>
      </c>
    </row>
    <row r="162" spans="1:4">
      <c r="A162" t="s">
        <v>21</v>
      </c>
      <c r="B162">
        <v>15</v>
      </c>
      <c r="C162" t="s">
        <v>1702</v>
      </c>
      <c r="D162" t="s">
        <v>1487</v>
      </c>
    </row>
    <row r="163" spans="1:4">
      <c r="A163" t="s">
        <v>21</v>
      </c>
      <c r="B163">
        <v>16</v>
      </c>
      <c r="C163" t="s">
        <v>1703</v>
      </c>
      <c r="D163" t="s">
        <v>1487</v>
      </c>
    </row>
    <row r="164" spans="1:4">
      <c r="A164" t="s">
        <v>21</v>
      </c>
      <c r="B164">
        <v>17</v>
      </c>
      <c r="C164" t="s">
        <v>1704</v>
      </c>
      <c r="D164" t="s">
        <v>1488</v>
      </c>
    </row>
    <row r="165" spans="1:4">
      <c r="A165" t="s">
        <v>21</v>
      </c>
      <c r="B165">
        <v>18</v>
      </c>
      <c r="C165" t="s">
        <v>1705</v>
      </c>
      <c r="D165" t="s">
        <v>1488</v>
      </c>
    </row>
    <row r="166" spans="1:4">
      <c r="A166" t="s">
        <v>21</v>
      </c>
      <c r="B166">
        <v>19</v>
      </c>
      <c r="C166" t="s">
        <v>1706</v>
      </c>
      <c r="D166" t="s">
        <v>1487</v>
      </c>
    </row>
    <row r="167" spans="1:4">
      <c r="A167" t="s">
        <v>21</v>
      </c>
      <c r="B167">
        <v>20</v>
      </c>
      <c r="C167" t="s">
        <v>1707</v>
      </c>
      <c r="D167" t="s">
        <v>1488</v>
      </c>
    </row>
    <row r="168" spans="1:4">
      <c r="A168" t="s">
        <v>21</v>
      </c>
      <c r="B168">
        <v>21</v>
      </c>
      <c r="C168" t="s">
        <v>1708</v>
      </c>
      <c r="D168" t="s">
        <v>1487</v>
      </c>
    </row>
    <row r="169" spans="1:4">
      <c r="A169" t="s">
        <v>21</v>
      </c>
      <c r="B169">
        <v>22</v>
      </c>
      <c r="C169" t="s">
        <v>1709</v>
      </c>
      <c r="D169" t="s">
        <v>1488</v>
      </c>
    </row>
    <row r="170" spans="1:4">
      <c r="A170" t="s">
        <v>21</v>
      </c>
      <c r="B170">
        <v>23</v>
      </c>
      <c r="C170" t="s">
        <v>1710</v>
      </c>
      <c r="D170" t="s">
        <v>1488</v>
      </c>
    </row>
    <row r="171" spans="1:4">
      <c r="A171" t="s">
        <v>21</v>
      </c>
      <c r="B171">
        <v>24</v>
      </c>
      <c r="C171" t="s">
        <v>1711</v>
      </c>
      <c r="D171" t="s">
        <v>1487</v>
      </c>
    </row>
    <row r="172" spans="1:4">
      <c r="A172" t="s">
        <v>21</v>
      </c>
      <c r="B172">
        <v>25</v>
      </c>
      <c r="C172" t="s">
        <v>1712</v>
      </c>
      <c r="D172" t="s">
        <v>1487</v>
      </c>
    </row>
    <row r="173" spans="1:4">
      <c r="A173" t="s">
        <v>21</v>
      </c>
      <c r="B173">
        <v>26</v>
      </c>
      <c r="C173" t="s">
        <v>1713</v>
      </c>
      <c r="D173" t="s">
        <v>1488</v>
      </c>
    </row>
    <row r="174" spans="1:4">
      <c r="A174" t="s">
        <v>21</v>
      </c>
      <c r="B174">
        <v>27</v>
      </c>
      <c r="C174" t="s">
        <v>1714</v>
      </c>
      <c r="D174" t="s">
        <v>1488</v>
      </c>
    </row>
    <row r="175" spans="1:4">
      <c r="A175" t="s">
        <v>21</v>
      </c>
      <c r="B175">
        <v>28</v>
      </c>
      <c r="C175" t="s">
        <v>1715</v>
      </c>
      <c r="D175" t="s">
        <v>1487</v>
      </c>
    </row>
    <row r="176" spans="1:4">
      <c r="A176" t="s">
        <v>21</v>
      </c>
      <c r="B176">
        <v>29</v>
      </c>
      <c r="C176" t="s">
        <v>1716</v>
      </c>
      <c r="D176" t="s">
        <v>1488</v>
      </c>
    </row>
    <row r="177" spans="1:5">
      <c r="A177" t="s">
        <v>21</v>
      </c>
      <c r="B177">
        <v>30</v>
      </c>
      <c r="C177" t="s">
        <v>1717</v>
      </c>
      <c r="D177" t="s">
        <v>1487</v>
      </c>
    </row>
    <row r="178" spans="1:5">
      <c r="A178" t="s">
        <v>21</v>
      </c>
      <c r="B178">
        <v>31</v>
      </c>
      <c r="C178" t="s">
        <v>1718</v>
      </c>
      <c r="D178" t="s">
        <v>1488</v>
      </c>
    </row>
    <row r="179" spans="1:5">
      <c r="A179" t="s">
        <v>21</v>
      </c>
      <c r="B179">
        <v>32</v>
      </c>
      <c r="C179" t="s">
        <v>1719</v>
      </c>
      <c r="D179" t="s">
        <v>1487</v>
      </c>
    </row>
    <row r="180" spans="1:5">
      <c r="A180" t="s">
        <v>21</v>
      </c>
      <c r="B180">
        <v>33</v>
      </c>
      <c r="C180" t="s">
        <v>1720</v>
      </c>
      <c r="D180" t="s">
        <v>1488</v>
      </c>
    </row>
    <row r="181" spans="1:5">
      <c r="A181" t="s">
        <v>21</v>
      </c>
      <c r="B181">
        <v>34</v>
      </c>
      <c r="C181" t="s">
        <v>1721</v>
      </c>
      <c r="D181" t="s">
        <v>1487</v>
      </c>
    </row>
    <row r="182" spans="1:5">
      <c r="A182" t="s">
        <v>21</v>
      </c>
      <c r="B182">
        <v>35</v>
      </c>
      <c r="C182" t="s">
        <v>1722</v>
      </c>
      <c r="D182" t="s">
        <v>1488</v>
      </c>
    </row>
    <row r="183" spans="1:5">
      <c r="A183" t="s">
        <v>21</v>
      </c>
      <c r="B183">
        <v>36</v>
      </c>
      <c r="C183" t="s">
        <v>1723</v>
      </c>
      <c r="D183" t="s">
        <v>1487</v>
      </c>
    </row>
    <row r="184" spans="1:5">
      <c r="A184" t="s">
        <v>21</v>
      </c>
      <c r="B184">
        <v>37</v>
      </c>
      <c r="C184" t="s">
        <v>1724</v>
      </c>
      <c r="D184" t="s">
        <v>1488</v>
      </c>
    </row>
    <row r="185" spans="1:5">
      <c r="A185" t="s">
        <v>21</v>
      </c>
      <c r="B185">
        <v>38</v>
      </c>
      <c r="C185" t="s">
        <v>1725</v>
      </c>
      <c r="D185" t="s">
        <v>1487</v>
      </c>
    </row>
    <row r="186" spans="1:5">
      <c r="A186" t="s">
        <v>21</v>
      </c>
      <c r="B186">
        <v>39</v>
      </c>
      <c r="C186" t="s">
        <v>1726</v>
      </c>
      <c r="D186" t="s">
        <v>1488</v>
      </c>
    </row>
    <row r="187" spans="1:5">
      <c r="A187" t="s">
        <v>21</v>
      </c>
      <c r="B187">
        <v>40</v>
      </c>
      <c r="C187" t="s">
        <v>1727</v>
      </c>
      <c r="D187" t="s">
        <v>1488</v>
      </c>
    </row>
    <row r="188" spans="1:5">
      <c r="A188" t="s">
        <v>15</v>
      </c>
      <c r="B188">
        <v>1</v>
      </c>
      <c r="C188" t="s">
        <v>1728</v>
      </c>
      <c r="D188" t="s">
        <v>1488</v>
      </c>
      <c r="E188" t="s">
        <v>1729</v>
      </c>
    </row>
    <row r="189" spans="1:5">
      <c r="A189" t="s">
        <v>15</v>
      </c>
      <c r="B189">
        <v>2</v>
      </c>
      <c r="C189" t="s">
        <v>1730</v>
      </c>
      <c r="D189" t="s">
        <v>1488</v>
      </c>
      <c r="E189" t="s">
        <v>1729</v>
      </c>
    </row>
    <row r="190" spans="1:5">
      <c r="A190" t="s">
        <v>15</v>
      </c>
      <c r="B190">
        <v>3</v>
      </c>
      <c r="C190" t="s">
        <v>1731</v>
      </c>
      <c r="D190" t="s">
        <v>1487</v>
      </c>
      <c r="E190" t="s">
        <v>1729</v>
      </c>
    </row>
    <row r="191" spans="1:5">
      <c r="A191" t="s">
        <v>15</v>
      </c>
      <c r="B191">
        <v>4</v>
      </c>
      <c r="C191" t="s">
        <v>1732</v>
      </c>
      <c r="D191" t="s">
        <v>1488</v>
      </c>
      <c r="E191" t="s">
        <v>1729</v>
      </c>
    </row>
    <row r="192" spans="1:5">
      <c r="A192" t="s">
        <v>15</v>
      </c>
      <c r="B192">
        <v>5</v>
      </c>
      <c r="C192" t="s">
        <v>1733</v>
      </c>
      <c r="D192" t="s">
        <v>1487</v>
      </c>
      <c r="E192" t="s">
        <v>1729</v>
      </c>
    </row>
    <row r="193" spans="1:5">
      <c r="A193" t="s">
        <v>15</v>
      </c>
      <c r="B193">
        <v>6</v>
      </c>
      <c r="C193" t="s">
        <v>1734</v>
      </c>
      <c r="D193" t="s">
        <v>1488</v>
      </c>
      <c r="E193" t="s">
        <v>1729</v>
      </c>
    </row>
    <row r="194" spans="1:5">
      <c r="A194" t="s">
        <v>15</v>
      </c>
      <c r="B194">
        <v>7</v>
      </c>
      <c r="C194" t="s">
        <v>1735</v>
      </c>
      <c r="D194" t="s">
        <v>1488</v>
      </c>
      <c r="E194" t="s">
        <v>1729</v>
      </c>
    </row>
    <row r="195" spans="1:5">
      <c r="A195" t="s">
        <v>15</v>
      </c>
      <c r="B195">
        <v>8</v>
      </c>
      <c r="C195" t="s">
        <v>1736</v>
      </c>
      <c r="D195" t="s">
        <v>1488</v>
      </c>
      <c r="E195" t="s">
        <v>1729</v>
      </c>
    </row>
    <row r="196" spans="1:5">
      <c r="A196" t="s">
        <v>15</v>
      </c>
      <c r="B196">
        <v>9</v>
      </c>
      <c r="C196" t="s">
        <v>1737</v>
      </c>
      <c r="D196" t="s">
        <v>1487</v>
      </c>
      <c r="E196" t="s">
        <v>1729</v>
      </c>
    </row>
    <row r="197" spans="1:5">
      <c r="A197" t="s">
        <v>15</v>
      </c>
      <c r="B197">
        <v>10</v>
      </c>
      <c r="C197" t="s">
        <v>1738</v>
      </c>
      <c r="D197" t="s">
        <v>1488</v>
      </c>
      <c r="E197" t="s">
        <v>1729</v>
      </c>
    </row>
    <row r="198" spans="1:5">
      <c r="A198" t="s">
        <v>15</v>
      </c>
      <c r="B198">
        <v>11</v>
      </c>
      <c r="C198" t="s">
        <v>1739</v>
      </c>
      <c r="D198" t="s">
        <v>1487</v>
      </c>
      <c r="E198" t="s">
        <v>1729</v>
      </c>
    </row>
    <row r="199" spans="1:5">
      <c r="A199" t="s">
        <v>15</v>
      </c>
      <c r="B199">
        <v>12</v>
      </c>
      <c r="C199" t="s">
        <v>1740</v>
      </c>
      <c r="D199" t="s">
        <v>1487</v>
      </c>
      <c r="E199" t="s">
        <v>1729</v>
      </c>
    </row>
    <row r="200" spans="1:5">
      <c r="A200" t="s">
        <v>15</v>
      </c>
      <c r="B200">
        <v>13</v>
      </c>
      <c r="C200" t="s">
        <v>1741</v>
      </c>
      <c r="D200" t="s">
        <v>1488</v>
      </c>
      <c r="E200" t="s">
        <v>1729</v>
      </c>
    </row>
    <row r="201" spans="1:5">
      <c r="A201" t="s">
        <v>15</v>
      </c>
      <c r="B201">
        <v>14</v>
      </c>
      <c r="C201" t="s">
        <v>1742</v>
      </c>
      <c r="D201" t="s">
        <v>1487</v>
      </c>
      <c r="E201" t="s">
        <v>1729</v>
      </c>
    </row>
    <row r="202" spans="1:5">
      <c r="A202" t="s">
        <v>15</v>
      </c>
      <c r="B202">
        <v>15</v>
      </c>
      <c r="C202" t="s">
        <v>1743</v>
      </c>
      <c r="D202" t="s">
        <v>1488</v>
      </c>
      <c r="E202" t="s">
        <v>1729</v>
      </c>
    </row>
    <row r="203" spans="1:5">
      <c r="A203" t="s">
        <v>15</v>
      </c>
      <c r="B203">
        <v>16</v>
      </c>
      <c r="C203" t="s">
        <v>1744</v>
      </c>
      <c r="D203" t="s">
        <v>1487</v>
      </c>
      <c r="E203" t="s">
        <v>1729</v>
      </c>
    </row>
    <row r="204" spans="1:5">
      <c r="A204" t="s">
        <v>15</v>
      </c>
      <c r="B204">
        <v>17</v>
      </c>
      <c r="C204" t="s">
        <v>1745</v>
      </c>
      <c r="D204" t="s">
        <v>1487</v>
      </c>
      <c r="E204" t="s">
        <v>1729</v>
      </c>
    </row>
    <row r="205" spans="1:5">
      <c r="A205" t="s">
        <v>15</v>
      </c>
      <c r="B205">
        <v>18</v>
      </c>
      <c r="C205" t="s">
        <v>1746</v>
      </c>
      <c r="D205" t="s">
        <v>1487</v>
      </c>
      <c r="E205" t="s">
        <v>1729</v>
      </c>
    </row>
    <row r="206" spans="1:5">
      <c r="A206" t="s">
        <v>15</v>
      </c>
      <c r="B206">
        <v>19</v>
      </c>
      <c r="C206" t="s">
        <v>1747</v>
      </c>
      <c r="D206" t="s">
        <v>1487</v>
      </c>
      <c r="E206" t="s">
        <v>1729</v>
      </c>
    </row>
    <row r="207" spans="1:5">
      <c r="A207" t="s">
        <v>15</v>
      </c>
      <c r="B207">
        <v>20</v>
      </c>
      <c r="C207" t="s">
        <v>1748</v>
      </c>
      <c r="D207" t="s">
        <v>1488</v>
      </c>
      <c r="E207" t="s">
        <v>1729</v>
      </c>
    </row>
    <row r="208" spans="1:5">
      <c r="A208" t="s">
        <v>13</v>
      </c>
      <c r="B208">
        <v>1</v>
      </c>
      <c r="C208" t="s">
        <v>1749</v>
      </c>
      <c r="D208" t="s">
        <v>1488</v>
      </c>
      <c r="E208" t="s">
        <v>1750</v>
      </c>
    </row>
    <row r="209" spans="1:5">
      <c r="A209" t="s">
        <v>13</v>
      </c>
      <c r="B209">
        <v>2</v>
      </c>
      <c r="C209" t="s">
        <v>1751</v>
      </c>
      <c r="D209" t="s">
        <v>1487</v>
      </c>
      <c r="E209" t="s">
        <v>1750</v>
      </c>
    </row>
    <row r="210" spans="1:5">
      <c r="A210" t="s">
        <v>13</v>
      </c>
      <c r="B210">
        <v>3</v>
      </c>
      <c r="C210" t="s">
        <v>1752</v>
      </c>
      <c r="D210" t="s">
        <v>1487</v>
      </c>
      <c r="E210" t="s">
        <v>1750</v>
      </c>
    </row>
    <row r="211" spans="1:5">
      <c r="A211" t="s">
        <v>13</v>
      </c>
      <c r="B211">
        <v>4</v>
      </c>
      <c r="C211" t="s">
        <v>1753</v>
      </c>
      <c r="D211" t="s">
        <v>1488</v>
      </c>
      <c r="E211" t="s">
        <v>1750</v>
      </c>
    </row>
    <row r="212" spans="1:5">
      <c r="A212" t="s">
        <v>13</v>
      </c>
      <c r="B212">
        <v>5</v>
      </c>
      <c r="C212" t="s">
        <v>1754</v>
      </c>
      <c r="D212" t="s">
        <v>1487</v>
      </c>
      <c r="E212" t="s">
        <v>1750</v>
      </c>
    </row>
    <row r="213" spans="1:5">
      <c r="A213" t="s">
        <v>1514</v>
      </c>
      <c r="B213">
        <v>1</v>
      </c>
      <c r="C213" t="s">
        <v>484</v>
      </c>
      <c r="D213" t="s">
        <v>1488</v>
      </c>
      <c r="E213" t="s">
        <v>1641</v>
      </c>
    </row>
    <row r="214" spans="1:5">
      <c r="A214" t="s">
        <v>1514</v>
      </c>
      <c r="B214">
        <v>2</v>
      </c>
      <c r="C214" t="s">
        <v>1755</v>
      </c>
      <c r="D214" t="s">
        <v>1488</v>
      </c>
      <c r="E214" t="s">
        <v>1641</v>
      </c>
    </row>
    <row r="215" spans="1:5">
      <c r="A215" t="s">
        <v>1514</v>
      </c>
      <c r="B215">
        <v>3</v>
      </c>
      <c r="C215" t="s">
        <v>1756</v>
      </c>
      <c r="D215" t="s">
        <v>1488</v>
      </c>
      <c r="E215" t="s">
        <v>1641</v>
      </c>
    </row>
    <row r="216" spans="1:5">
      <c r="A216" t="s">
        <v>1514</v>
      </c>
      <c r="B216">
        <v>4</v>
      </c>
      <c r="C216" t="s">
        <v>1757</v>
      </c>
      <c r="D216" t="s">
        <v>1487</v>
      </c>
      <c r="E216" t="s">
        <v>1641</v>
      </c>
    </row>
    <row r="217" spans="1:5">
      <c r="A217" t="s">
        <v>19</v>
      </c>
      <c r="B217">
        <v>1</v>
      </c>
      <c r="C217" t="s">
        <v>1758</v>
      </c>
      <c r="D217" t="s">
        <v>1488</v>
      </c>
      <c r="E217" t="s">
        <v>1759</v>
      </c>
    </row>
    <row r="218" spans="1:5">
      <c r="A218" t="s">
        <v>19</v>
      </c>
      <c r="B218">
        <v>2</v>
      </c>
      <c r="C218" t="s">
        <v>1760</v>
      </c>
      <c r="D218" t="s">
        <v>1487</v>
      </c>
      <c r="E218" t="s">
        <v>1761</v>
      </c>
    </row>
    <row r="219" spans="1:5">
      <c r="A219" t="s">
        <v>19</v>
      </c>
      <c r="B219">
        <v>3</v>
      </c>
      <c r="C219" t="s">
        <v>1762</v>
      </c>
      <c r="D219" t="s">
        <v>1488</v>
      </c>
      <c r="E219" t="s">
        <v>1763</v>
      </c>
    </row>
    <row r="220" spans="1:5">
      <c r="A220" t="s">
        <v>19</v>
      </c>
      <c r="B220">
        <v>4</v>
      </c>
      <c r="C220" t="s">
        <v>1764</v>
      </c>
      <c r="D220" t="s">
        <v>1488</v>
      </c>
      <c r="E220" t="s">
        <v>1763</v>
      </c>
    </row>
    <row r="221" spans="1:5">
      <c r="A221" t="s">
        <v>19</v>
      </c>
      <c r="B221">
        <v>5</v>
      </c>
      <c r="C221" t="s">
        <v>1765</v>
      </c>
      <c r="D221" t="s">
        <v>1487</v>
      </c>
      <c r="E221" t="s">
        <v>1763</v>
      </c>
    </row>
    <row r="222" spans="1:5">
      <c r="A222" t="s">
        <v>19</v>
      </c>
      <c r="B222">
        <v>6</v>
      </c>
      <c r="C222" t="s">
        <v>1766</v>
      </c>
      <c r="D222" t="s">
        <v>1488</v>
      </c>
      <c r="E222" t="s">
        <v>1763</v>
      </c>
    </row>
    <row r="223" spans="1:5">
      <c r="A223" t="s">
        <v>19</v>
      </c>
      <c r="B223">
        <v>7</v>
      </c>
      <c r="C223" t="s">
        <v>1767</v>
      </c>
      <c r="D223" t="s">
        <v>1488</v>
      </c>
      <c r="E223" t="s">
        <v>1763</v>
      </c>
    </row>
    <row r="224" spans="1:5">
      <c r="A224" t="s">
        <v>19</v>
      </c>
      <c r="B224">
        <v>8</v>
      </c>
      <c r="C224" t="s">
        <v>1768</v>
      </c>
      <c r="D224" t="s">
        <v>1488</v>
      </c>
      <c r="E224" t="s">
        <v>1763</v>
      </c>
    </row>
    <row r="225" spans="1:5">
      <c r="A225" t="s">
        <v>19</v>
      </c>
      <c r="B225">
        <v>9</v>
      </c>
      <c r="C225" t="s">
        <v>1769</v>
      </c>
      <c r="D225" t="s">
        <v>1488</v>
      </c>
      <c r="E225" t="s">
        <v>1770</v>
      </c>
    </row>
    <row r="226" spans="1:5">
      <c r="A226" t="s">
        <v>19</v>
      </c>
      <c r="B226">
        <v>10</v>
      </c>
      <c r="C226" t="s">
        <v>1771</v>
      </c>
      <c r="D226" t="s">
        <v>1488</v>
      </c>
      <c r="E226" t="s">
        <v>1763</v>
      </c>
    </row>
    <row r="227" spans="1:5">
      <c r="A227" t="s">
        <v>19</v>
      </c>
      <c r="B227">
        <v>11</v>
      </c>
      <c r="C227" t="s">
        <v>1772</v>
      </c>
      <c r="D227" t="s">
        <v>1488</v>
      </c>
    </row>
    <row r="228" spans="1:5">
      <c r="A228" t="s">
        <v>19</v>
      </c>
      <c r="B228">
        <v>12</v>
      </c>
      <c r="C228" t="s">
        <v>1773</v>
      </c>
      <c r="D228" t="s">
        <v>1488</v>
      </c>
    </row>
    <row r="229" spans="1:5">
      <c r="A229" t="s">
        <v>19</v>
      </c>
      <c r="B229">
        <v>13</v>
      </c>
      <c r="C229" t="s">
        <v>1774</v>
      </c>
      <c r="D229" t="s">
        <v>1487</v>
      </c>
    </row>
    <row r="230" spans="1:5">
      <c r="A230" t="s">
        <v>19</v>
      </c>
      <c r="B230">
        <v>14</v>
      </c>
      <c r="C230" t="s">
        <v>1775</v>
      </c>
      <c r="D230" t="s">
        <v>1488</v>
      </c>
    </row>
    <row r="231" spans="1:5">
      <c r="A231" t="s">
        <v>19</v>
      </c>
      <c r="B231">
        <v>15</v>
      </c>
      <c r="C231" t="s">
        <v>1776</v>
      </c>
      <c r="D231" t="s">
        <v>1488</v>
      </c>
    </row>
    <row r="232" spans="1:5">
      <c r="A232" t="s">
        <v>19</v>
      </c>
      <c r="B232">
        <v>16</v>
      </c>
      <c r="C232" t="s">
        <v>1777</v>
      </c>
      <c r="D232" t="s">
        <v>1488</v>
      </c>
    </row>
    <row r="233" spans="1:5">
      <c r="A233" t="s">
        <v>19</v>
      </c>
      <c r="B233">
        <v>17</v>
      </c>
      <c r="C233" t="s">
        <v>1778</v>
      </c>
      <c r="D233" t="s">
        <v>1488</v>
      </c>
    </row>
    <row r="234" spans="1:5">
      <c r="A234" t="s">
        <v>22</v>
      </c>
      <c r="B234">
        <v>1</v>
      </c>
      <c r="C234" t="s">
        <v>1779</v>
      </c>
      <c r="D234" t="s">
        <v>1488</v>
      </c>
      <c r="E234" t="s">
        <v>1780</v>
      </c>
    </row>
    <row r="235" spans="1:5">
      <c r="A235" t="s">
        <v>22</v>
      </c>
      <c r="B235">
        <v>2</v>
      </c>
      <c r="C235" t="s">
        <v>1781</v>
      </c>
      <c r="D235" t="s">
        <v>1488</v>
      </c>
      <c r="E235" t="s">
        <v>1782</v>
      </c>
    </row>
    <row r="236" spans="1:5">
      <c r="A236" t="s">
        <v>22</v>
      </c>
      <c r="B236">
        <v>3</v>
      </c>
      <c r="C236" t="s">
        <v>1783</v>
      </c>
      <c r="D236" t="s">
        <v>1487</v>
      </c>
      <c r="E236" t="s">
        <v>1784</v>
      </c>
    </row>
    <row r="237" spans="1:5">
      <c r="A237" t="s">
        <v>22</v>
      </c>
      <c r="B237">
        <v>4</v>
      </c>
      <c r="C237" t="s">
        <v>1785</v>
      </c>
      <c r="D237" t="s">
        <v>1488</v>
      </c>
      <c r="E237" t="s">
        <v>1786</v>
      </c>
    </row>
    <row r="238" spans="1:5">
      <c r="A238" t="s">
        <v>22</v>
      </c>
      <c r="B238">
        <v>5</v>
      </c>
      <c r="C238" t="s">
        <v>1787</v>
      </c>
      <c r="D238" t="s">
        <v>1487</v>
      </c>
      <c r="E238" t="s">
        <v>1788</v>
      </c>
    </row>
    <row r="239" spans="1:5">
      <c r="A239" t="s">
        <v>22</v>
      </c>
      <c r="B239">
        <v>6</v>
      </c>
      <c r="C239" t="s">
        <v>1789</v>
      </c>
      <c r="D239" t="s">
        <v>1487</v>
      </c>
      <c r="E239" t="s">
        <v>1790</v>
      </c>
    </row>
    <row r="240" spans="1:5">
      <c r="A240" t="s">
        <v>22</v>
      </c>
      <c r="B240">
        <v>7</v>
      </c>
      <c r="C240" t="s">
        <v>1791</v>
      </c>
      <c r="D240" t="s">
        <v>1488</v>
      </c>
      <c r="E240" t="s">
        <v>1792</v>
      </c>
    </row>
    <row r="241" spans="1:5">
      <c r="A241" t="s">
        <v>22</v>
      </c>
      <c r="B241">
        <v>8</v>
      </c>
      <c r="C241" t="s">
        <v>1793</v>
      </c>
      <c r="D241" t="s">
        <v>1488</v>
      </c>
      <c r="E241" t="s">
        <v>1794</v>
      </c>
    </row>
    <row r="242" spans="1:5">
      <c r="A242" t="s">
        <v>22</v>
      </c>
      <c r="B242">
        <v>9</v>
      </c>
      <c r="C242" t="s">
        <v>1795</v>
      </c>
      <c r="D242" t="s">
        <v>1488</v>
      </c>
      <c r="E242" t="s">
        <v>1796</v>
      </c>
    </row>
    <row r="243" spans="1:5">
      <c r="A243" t="s">
        <v>22</v>
      </c>
      <c r="B243">
        <v>10</v>
      </c>
      <c r="C243" t="s">
        <v>1797</v>
      </c>
      <c r="D243" t="s">
        <v>1488</v>
      </c>
      <c r="E243" t="s">
        <v>1798</v>
      </c>
    </row>
    <row r="244" spans="1:5">
      <c r="A244" t="s">
        <v>22</v>
      </c>
      <c r="B244">
        <v>11</v>
      </c>
      <c r="C244" t="s">
        <v>1799</v>
      </c>
      <c r="D244" t="s">
        <v>1487</v>
      </c>
      <c r="E244" t="s">
        <v>1800</v>
      </c>
    </row>
    <row r="245" spans="1:5">
      <c r="A245" t="s">
        <v>18</v>
      </c>
      <c r="B245">
        <v>1</v>
      </c>
      <c r="C245" t="s">
        <v>1801</v>
      </c>
      <c r="D245" t="s">
        <v>1488</v>
      </c>
      <c r="E245" t="s">
        <v>1802</v>
      </c>
    </row>
    <row r="246" spans="1:5">
      <c r="A246" t="s">
        <v>18</v>
      </c>
      <c r="B246">
        <v>2</v>
      </c>
      <c r="C246" t="s">
        <v>1803</v>
      </c>
      <c r="D246" t="s">
        <v>1488</v>
      </c>
      <c r="E246" t="s">
        <v>1804</v>
      </c>
    </row>
    <row r="247" spans="1:5">
      <c r="A247" t="s">
        <v>18</v>
      </c>
      <c r="B247">
        <v>3</v>
      </c>
      <c r="C247" t="s">
        <v>1805</v>
      </c>
      <c r="D247" t="s">
        <v>1488</v>
      </c>
      <c r="E247" t="s">
        <v>1802</v>
      </c>
    </row>
    <row r="248" spans="1:5">
      <c r="A248" t="s">
        <v>18</v>
      </c>
      <c r="B248">
        <v>4</v>
      </c>
      <c r="C248" t="s">
        <v>1806</v>
      </c>
      <c r="D248" t="s">
        <v>1488</v>
      </c>
      <c r="E248" t="s">
        <v>1802</v>
      </c>
    </row>
    <row r="249" spans="1:5">
      <c r="A249" t="s">
        <v>18</v>
      </c>
      <c r="B249">
        <v>5</v>
      </c>
      <c r="C249" t="s">
        <v>1807</v>
      </c>
      <c r="D249" t="s">
        <v>1487</v>
      </c>
      <c r="E249" t="s">
        <v>1802</v>
      </c>
    </row>
    <row r="250" spans="1:5">
      <c r="A250" t="s">
        <v>18</v>
      </c>
      <c r="B250">
        <v>6</v>
      </c>
      <c r="C250" t="s">
        <v>1808</v>
      </c>
      <c r="D250" t="s">
        <v>1488</v>
      </c>
      <c r="E250" t="s">
        <v>1809</v>
      </c>
    </row>
    <row r="251" spans="1:5">
      <c r="A251" t="s">
        <v>12</v>
      </c>
      <c r="B251">
        <v>1</v>
      </c>
      <c r="C251" t="s">
        <v>1810</v>
      </c>
      <c r="D251" t="s">
        <v>1488</v>
      </c>
      <c r="E251" t="s">
        <v>1811</v>
      </c>
    </row>
    <row r="252" spans="1:5">
      <c r="A252" t="s">
        <v>12</v>
      </c>
      <c r="B252">
        <v>2</v>
      </c>
      <c r="C252" t="s">
        <v>1812</v>
      </c>
      <c r="D252" t="s">
        <v>1488</v>
      </c>
      <c r="E252" t="s">
        <v>1811</v>
      </c>
    </row>
    <row r="253" spans="1:5">
      <c r="A253" t="s">
        <v>12</v>
      </c>
      <c r="B253">
        <v>3</v>
      </c>
      <c r="C253" t="s">
        <v>1813</v>
      </c>
      <c r="D253" t="s">
        <v>1488</v>
      </c>
      <c r="E253" t="s">
        <v>1811</v>
      </c>
    </row>
    <row r="254" spans="1:5">
      <c r="A254" t="s">
        <v>12</v>
      </c>
      <c r="B254">
        <v>4</v>
      </c>
      <c r="C254" t="s">
        <v>1814</v>
      </c>
      <c r="D254" t="s">
        <v>1488</v>
      </c>
      <c r="E254" t="s">
        <v>1811</v>
      </c>
    </row>
    <row r="255" spans="1:5">
      <c r="A255" t="s">
        <v>12</v>
      </c>
      <c r="B255">
        <v>5</v>
      </c>
      <c r="C255" t="s">
        <v>1815</v>
      </c>
      <c r="D255" t="s">
        <v>1488</v>
      </c>
      <c r="E255" t="s">
        <v>1811</v>
      </c>
    </row>
    <row r="256" spans="1:5">
      <c r="A256" t="s">
        <v>12</v>
      </c>
      <c r="B256">
        <v>6</v>
      </c>
      <c r="C256" t="s">
        <v>1816</v>
      </c>
      <c r="D256" t="s">
        <v>1488</v>
      </c>
      <c r="E256" t="s">
        <v>1811</v>
      </c>
    </row>
    <row r="257" spans="1:5">
      <c r="A257" t="s">
        <v>12</v>
      </c>
      <c r="B257">
        <v>7</v>
      </c>
      <c r="C257" t="s">
        <v>1817</v>
      </c>
      <c r="D257" t="s">
        <v>1488</v>
      </c>
      <c r="E257" t="s">
        <v>1811</v>
      </c>
    </row>
    <row r="258" spans="1:5">
      <c r="A258" t="s">
        <v>12</v>
      </c>
      <c r="B258">
        <v>8</v>
      </c>
      <c r="C258" t="s">
        <v>1818</v>
      </c>
      <c r="D258" t="s">
        <v>1488</v>
      </c>
      <c r="E258" t="s">
        <v>1811</v>
      </c>
    </row>
    <row r="259" spans="1:5">
      <c r="A259" t="s">
        <v>12</v>
      </c>
      <c r="B259">
        <v>9</v>
      </c>
      <c r="C259" t="s">
        <v>1819</v>
      </c>
      <c r="D259" t="s">
        <v>1488</v>
      </c>
    </row>
    <row r="260" spans="1:5">
      <c r="A260" t="s">
        <v>12</v>
      </c>
      <c r="B260">
        <v>10</v>
      </c>
      <c r="C260" t="s">
        <v>1820</v>
      </c>
      <c r="D260" t="s">
        <v>1488</v>
      </c>
    </row>
    <row r="261" spans="1:5">
      <c r="A261" t="s">
        <v>12</v>
      </c>
      <c r="B261">
        <v>11</v>
      </c>
      <c r="C261" t="s">
        <v>1821</v>
      </c>
      <c r="D261" t="s">
        <v>1488</v>
      </c>
    </row>
  </sheetData>
  <autoFilter ref="A1:E258" xr:uid="{00000000-0009-0000-0000-000005000000}">
    <sortState xmlns:xlrd2="http://schemas.microsoft.com/office/spreadsheetml/2017/richdata2" ref="A2:E258">
      <sortCondition ref="A1:A258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7"/>
  <sheetViews>
    <sheetView rightToLeft="1" topLeftCell="A6" zoomScaleNormal="100" workbookViewId="0">
      <selection activeCell="A16" sqref="A16"/>
    </sheetView>
  </sheetViews>
  <sheetFormatPr defaultColWidth="8.5703125" defaultRowHeight="15"/>
  <cols>
    <col min="1" max="1" width="22" customWidth="1"/>
    <col min="2" max="2" width="12" customWidth="1"/>
    <col min="3" max="4" width="14" customWidth="1"/>
    <col min="5" max="5" width="12" customWidth="1"/>
    <col min="6" max="6" width="60" customWidth="1"/>
  </cols>
  <sheetData>
    <row r="1" spans="1:9" ht="15" customHeight="1">
      <c r="A1" s="10" t="s">
        <v>2</v>
      </c>
      <c r="B1" s="10" t="s">
        <v>1822</v>
      </c>
      <c r="C1" s="10" t="s">
        <v>4</v>
      </c>
      <c r="D1" s="10" t="s">
        <v>5</v>
      </c>
      <c r="E1" s="10" t="s">
        <v>6</v>
      </c>
      <c r="F1" s="10" t="s">
        <v>1823</v>
      </c>
      <c r="G1" t="s">
        <v>1824</v>
      </c>
      <c r="H1" t="s">
        <v>1825</v>
      </c>
      <c r="I1" t="s">
        <v>1826</v>
      </c>
    </row>
    <row r="2" spans="1:9" ht="15" customHeight="1">
      <c r="A2" t="s">
        <v>10</v>
      </c>
      <c r="B2">
        <f>INDEX('סקר 2026'!$D:$D,MATCH(A2,'סקר 2026'!$A:$A,0))</f>
        <v>21</v>
      </c>
      <c r="C2">
        <f>COUNTIFS('מועמדים 2026'!$A:$A,A2,'מועמדים 2026'!$D:$D,"נ",'מועמדים 2026'!$B:$B,"&lt;="&amp;B2)</f>
        <v>3</v>
      </c>
      <c r="D2">
        <f>COUNTIFS('מועמדים 2026'!$A:$A,A2,'מועמדים 2026'!$D:$D,"ז",'מועמדים 2026'!$B:$B,"&lt;="&amp;B2)</f>
        <v>18</v>
      </c>
      <c r="E2">
        <f t="shared" ref="E2:E17" si="0">IF(B2=0,0,C2/B2)</f>
        <v>0.14285714285714285</v>
      </c>
      <c r="F2" t="s">
        <v>1827</v>
      </c>
      <c r="G2">
        <v>32</v>
      </c>
      <c r="H2">
        <v>7</v>
      </c>
      <c r="I2">
        <f t="shared" ref="I2:I17" si="1">IF(G2=0,0,H2/G2)</f>
        <v>0.21875</v>
      </c>
    </row>
    <row r="3" spans="1:9" ht="15" customHeight="1">
      <c r="A3" t="s">
        <v>21</v>
      </c>
      <c r="B3">
        <f>INDEX('סקר 2026'!$D:$D,MATCH(A3,'סקר 2026'!$A:$A,0))</f>
        <v>22</v>
      </c>
      <c r="C3">
        <f>COUNTIFS('מועמדים 2026'!$A:$A,A3,'מועמדים 2026'!$D:$D,"נ",'מועמדים 2026'!$B:$B,"&lt;="&amp;B3)</f>
        <v>11</v>
      </c>
      <c r="D3">
        <f>COUNTIFS('מועמדים 2026'!$A:$A,A3,'מועמדים 2026'!$D:$D,"ז",'מועמדים 2026'!$B:$B,"&lt;="&amp;B3)</f>
        <v>11</v>
      </c>
      <c r="E3">
        <f t="shared" si="0"/>
        <v>0.5</v>
      </c>
      <c r="F3" t="s">
        <v>1828</v>
      </c>
      <c r="G3">
        <v>0</v>
      </c>
      <c r="H3">
        <v>0</v>
      </c>
      <c r="I3">
        <f t="shared" si="1"/>
        <v>0</v>
      </c>
    </row>
    <row r="4" spans="1:9" ht="15" customHeight="1">
      <c r="A4" t="s">
        <v>20</v>
      </c>
      <c r="B4">
        <f>INDEX('סקר 2026'!$D:$D,MATCH(A4,'סקר 2026'!$A:$A,0))</f>
        <v>12</v>
      </c>
      <c r="C4">
        <f>COUNTIFS('מועמדים 2026'!$A:$A,A4,'מועמדים 2026'!$D:$D,"נ",'מועמדים 2026'!$B:$B,"&lt;="&amp;B4)</f>
        <v>6</v>
      </c>
      <c r="D4">
        <f>COUNTIFS('מועמדים 2026'!$A:$A,A4,'מועמדים 2026'!$D:$D,"ז",'מועמדים 2026'!$B:$B,"&lt;="&amp;B4)</f>
        <v>6</v>
      </c>
      <c r="E4">
        <f t="shared" si="0"/>
        <v>0.5</v>
      </c>
      <c r="F4" t="s">
        <v>1829</v>
      </c>
      <c r="G4">
        <v>24</v>
      </c>
      <c r="H4">
        <v>9</v>
      </c>
      <c r="I4">
        <f t="shared" si="1"/>
        <v>0.375</v>
      </c>
    </row>
    <row r="5" spans="1:9" ht="15" customHeight="1">
      <c r="A5" t="s">
        <v>16</v>
      </c>
      <c r="B5">
        <f>INDEX('סקר 2026'!$D:$D,MATCH(A5,'סקר 2026'!$A:$A,0))</f>
        <v>9</v>
      </c>
      <c r="C5">
        <f>COUNTIFS('מועמדים 2026'!$A:$A,A5,'מועמדים 2026'!$D:$D,"נ",'מועמדים 2026'!$B:$B,"&lt;="&amp;B5)</f>
        <v>4</v>
      </c>
      <c r="D5">
        <f>COUNTIFS('מועמדים 2026'!$A:$A,A5,'מועמדים 2026'!$D:$D,"ז",'מועמדים 2026'!$B:$B,"&lt;="&amp;B5)</f>
        <v>5</v>
      </c>
      <c r="E5">
        <f t="shared" si="0"/>
        <v>0.44444444444444442</v>
      </c>
      <c r="F5" t="s">
        <v>1830</v>
      </c>
      <c r="G5">
        <v>4</v>
      </c>
      <c r="H5">
        <v>3</v>
      </c>
      <c r="I5">
        <f t="shared" si="1"/>
        <v>0.75</v>
      </c>
    </row>
    <row r="6" spans="1:9" ht="15" customHeight="1">
      <c r="A6" t="s">
        <v>15</v>
      </c>
      <c r="B6">
        <f>INDEX('סקר 2026'!$D:$D,MATCH(A6,'סקר 2026'!$A:$A,0))</f>
        <v>8</v>
      </c>
      <c r="C6">
        <f>COUNTIFS('מועמדים 2026'!$A:$A,A6,'מועמדים 2026'!$D:$D,"נ",'מועמדים 2026'!$B:$B,"&lt;="&amp;B6)</f>
        <v>2</v>
      </c>
      <c r="D6">
        <f>COUNTIFS('מועמדים 2026'!$A:$A,A6,'מועמדים 2026'!$D:$D,"ז",'מועמדים 2026'!$B:$B,"&lt;="&amp;B6)</f>
        <v>6</v>
      </c>
      <c r="E6">
        <f t="shared" si="0"/>
        <v>0.25</v>
      </c>
      <c r="F6" t="s">
        <v>1831</v>
      </c>
      <c r="G6">
        <v>6</v>
      </c>
      <c r="H6">
        <v>2</v>
      </c>
      <c r="I6">
        <f t="shared" si="1"/>
        <v>0.33333333333333331</v>
      </c>
    </row>
    <row r="7" spans="1:9" ht="15" customHeight="1">
      <c r="A7" t="s">
        <v>12</v>
      </c>
      <c r="B7">
        <f>INDEX('סקר 2026'!$D:$D,MATCH(A7,'סקר 2026'!$A:$A,0))</f>
        <v>8</v>
      </c>
      <c r="C7">
        <f>COUNTIFS('מועמדים 2026'!$A:$A,A7,'מועמדים 2026'!$D:$D,"נ",'מועמדים 2026'!$B:$B,"&lt;="&amp;B7)</f>
        <v>0</v>
      </c>
      <c r="D7">
        <f>COUNTIFS('מועמדים 2026'!$A:$A,A7,'מועמדים 2026'!$D:$D,"ז",'מועמדים 2026'!$B:$B,"&lt;="&amp;B7)</f>
        <v>8</v>
      </c>
      <c r="E7">
        <f t="shared" si="0"/>
        <v>0</v>
      </c>
      <c r="F7" t="s">
        <v>1832</v>
      </c>
      <c r="G7">
        <v>11</v>
      </c>
      <c r="H7">
        <v>0</v>
      </c>
      <c r="I7">
        <f t="shared" si="1"/>
        <v>0</v>
      </c>
    </row>
    <row r="8" spans="1:9" ht="15" customHeight="1">
      <c r="A8" t="s">
        <v>19</v>
      </c>
      <c r="B8">
        <f>INDEX('סקר 2026'!$D:$D,MATCH(A8,'סקר 2026'!$A:$A,0))</f>
        <v>8</v>
      </c>
      <c r="C8">
        <f>COUNTIFS('מועמדים 2026'!$A:$A,A8,'מועמדים 2026'!$D:$D,"נ",'מועמדים 2026'!$B:$B,"&lt;="&amp;B8)</f>
        <v>2</v>
      </c>
      <c r="D8">
        <f>COUNTIFS('מועמדים 2026'!$A:$A,A8,'מועמדים 2026'!$D:$D,"ז",'מועמדים 2026'!$B:$B,"&lt;="&amp;B8)</f>
        <v>6</v>
      </c>
      <c r="E8">
        <f t="shared" si="0"/>
        <v>0.25</v>
      </c>
      <c r="F8" t="s">
        <v>1833</v>
      </c>
      <c r="G8">
        <v>6</v>
      </c>
      <c r="H8">
        <v>1</v>
      </c>
      <c r="I8">
        <f t="shared" si="1"/>
        <v>0.16666666666666666</v>
      </c>
    </row>
    <row r="9" spans="1:9" ht="15" customHeight="1">
      <c r="A9" t="s">
        <v>11</v>
      </c>
      <c r="B9">
        <f>INDEX('סקר 2026'!$D:$D,MATCH(A9,'סקר 2026'!$A:$A,0))</f>
        <v>8</v>
      </c>
      <c r="C9">
        <f>COUNTIFS('מועמדים 2026'!$A:$A,A9,'מועמדים 2026'!$D:$D,"נ",'מועמדים 2026'!$B:$B,"&lt;="&amp;B9)</f>
        <v>0</v>
      </c>
      <c r="D9">
        <f>COUNTIFS('מועמדים 2026'!$A:$A,A9,'מועמדים 2026'!$D:$D,"ז",'מועמדים 2026'!$B:$B,"&lt;="&amp;B9)</f>
        <v>8</v>
      </c>
      <c r="E9">
        <f t="shared" si="0"/>
        <v>0</v>
      </c>
      <c r="F9" t="s">
        <v>1834</v>
      </c>
      <c r="G9">
        <v>7</v>
      </c>
      <c r="H9">
        <v>0</v>
      </c>
      <c r="I9">
        <f t="shared" si="1"/>
        <v>0</v>
      </c>
    </row>
    <row r="10" spans="1:9" ht="15" customHeight="1">
      <c r="A10" t="s">
        <v>14</v>
      </c>
      <c r="B10">
        <f>INDEX('סקר 2026'!$D:$D,MATCH(A10,'סקר 2026'!$A:$A,0))</f>
        <v>8</v>
      </c>
      <c r="C10">
        <f>COUNTIFS('מועמדים 2026'!$A:$A,A10,'מועמדים 2026'!$D:$D,"נ",'מועמדים 2026'!$B:$B,"&lt;="&amp;B10)</f>
        <v>1</v>
      </c>
      <c r="D10">
        <f>COUNTIFS('מועמדים 2026'!$A:$A,A10,'מועמדים 2026'!$D:$D,"ז",'מועמדים 2026'!$B:$B,"&lt;="&amp;B10)</f>
        <v>7</v>
      </c>
      <c r="E10">
        <f t="shared" si="0"/>
        <v>0.125</v>
      </c>
      <c r="F10" t="s">
        <v>1835</v>
      </c>
      <c r="G10">
        <v>5</v>
      </c>
      <c r="H10">
        <v>1</v>
      </c>
      <c r="I10">
        <f t="shared" si="1"/>
        <v>0.2</v>
      </c>
    </row>
    <row r="11" spans="1:9" ht="15" customHeight="1">
      <c r="A11" t="s">
        <v>17</v>
      </c>
      <c r="B11">
        <f>INDEX('סקר 2026'!$D:$D,MATCH(A11,'סקר 2026'!$A:$A,0))</f>
        <v>6</v>
      </c>
      <c r="C11">
        <f>COUNTIFS('מועמדים 2026'!$A:$A,A11,'מועמדים 2026'!$D:$D,"נ",'מועמדים 2026'!$B:$B,"&lt;="&amp;B11)</f>
        <v>1</v>
      </c>
      <c r="D11">
        <f>COUNTIFS('מועמדים 2026'!$A:$A,A11,'מועמדים 2026'!$D:$D,"ז",'מועמדים 2026'!$B:$B,"&lt;="&amp;B11)</f>
        <v>5</v>
      </c>
      <c r="E11">
        <f t="shared" si="0"/>
        <v>0.16666666666666666</v>
      </c>
      <c r="F11" t="s">
        <v>1836</v>
      </c>
      <c r="G11">
        <v>7</v>
      </c>
      <c r="H11">
        <v>2</v>
      </c>
      <c r="I11">
        <f t="shared" si="1"/>
        <v>0.2857142857142857</v>
      </c>
    </row>
    <row r="12" spans="1:9" ht="15" customHeight="1">
      <c r="A12" t="s">
        <v>18</v>
      </c>
      <c r="B12">
        <f>INDEX('סקר 2026'!$D:$D,MATCH(A12,'סקר 2026'!$A:$A,0))</f>
        <v>5</v>
      </c>
      <c r="C12">
        <f>COUNTIFS('מועמדים 2026'!$A:$A,A12,'מועמדים 2026'!$D:$D,"נ",'מועמדים 2026'!$B:$B,"&lt;="&amp;B12)</f>
        <v>1</v>
      </c>
      <c r="D12">
        <f>COUNTIFS('מועמדים 2026'!$A:$A,A12,'מועמדים 2026'!$D:$D,"ז",'מועמדים 2026'!$B:$B,"&lt;="&amp;B12)</f>
        <v>4</v>
      </c>
      <c r="E12">
        <f t="shared" si="0"/>
        <v>0.2</v>
      </c>
      <c r="F12" t="s">
        <v>1837</v>
      </c>
      <c r="G12">
        <v>5</v>
      </c>
      <c r="H12">
        <v>1</v>
      </c>
      <c r="I12">
        <f t="shared" si="1"/>
        <v>0.2</v>
      </c>
    </row>
    <row r="13" spans="1:9" ht="15" customHeight="1">
      <c r="A13" t="s">
        <v>13</v>
      </c>
      <c r="B13">
        <f>INDEX('סקר 2026'!$D:$D,MATCH(A13,'סקר 2026'!$A:$A,0))</f>
        <v>0</v>
      </c>
      <c r="C13">
        <f>COUNTIFS('מועמדים 2026'!$A:$A,A13,'מועמדים 2026'!$D:$D,"נ",'מועמדים 2026'!$B:$B,"&lt;="&amp;B13)</f>
        <v>0</v>
      </c>
      <c r="D13">
        <f>COUNTIFS('מועמדים 2026'!$A:$A,A13,'מועמדים 2026'!$D:$D,"ז",'מועמדים 2026'!$B:$B,"&lt;="&amp;B13)</f>
        <v>0</v>
      </c>
      <c r="E13">
        <f t="shared" si="0"/>
        <v>0</v>
      </c>
      <c r="F13" t="s">
        <v>1838</v>
      </c>
      <c r="G13">
        <v>8</v>
      </c>
      <c r="H13">
        <v>2</v>
      </c>
      <c r="I13">
        <f t="shared" si="1"/>
        <v>0.25</v>
      </c>
    </row>
    <row r="14" spans="1:9" ht="15" customHeight="1">
      <c r="A14" t="s">
        <v>22</v>
      </c>
      <c r="B14">
        <f>INDEX('סקר 2026'!$D:$D,MATCH(A14,'סקר 2026'!$A:$A,0))</f>
        <v>0</v>
      </c>
      <c r="C14">
        <f>COUNTIFS('מועמדים 2026'!$A:$A,A14,'מועמדים 2026'!$D:$D,"נ",'מועמדים 2026'!$B:$B,"&lt;="&amp;B14)</f>
        <v>0</v>
      </c>
      <c r="D14">
        <f>COUNTIFS('מועמדים 2026'!$A:$A,A14,'מועמדים 2026'!$D:$D,"ז",'מועמדים 2026'!$B:$B,"&lt;="&amp;B14)</f>
        <v>0</v>
      </c>
      <c r="E14">
        <f t="shared" si="0"/>
        <v>0</v>
      </c>
      <c r="F14" t="s">
        <v>1839</v>
      </c>
      <c r="G14">
        <v>0</v>
      </c>
      <c r="H14">
        <v>0</v>
      </c>
      <c r="I14">
        <f t="shared" si="1"/>
        <v>0</v>
      </c>
    </row>
    <row r="15" spans="1:9" ht="15" customHeight="1">
      <c r="A15" t="s">
        <v>23</v>
      </c>
      <c r="B15">
        <f>INDEX('סקר 2026'!$D:$D,MATCH(A15,'סקר 2026'!$A:$A,0))</f>
        <v>4</v>
      </c>
      <c r="C15">
        <f>COUNTIFS('מועמדים 2026'!$A:$A,A15,'מועמדים 2026'!$D:$D,"נ",'מועמדים 2026'!$B:$B,"&lt;="&amp;B15)</f>
        <v>1</v>
      </c>
      <c r="D15">
        <f>COUNTIFS('מועמדים 2026'!$A:$A,A15,'מועמדים 2026'!$D:$D,"ז",'מועמדים 2026'!$B:$B,"&lt;="&amp;B15)</f>
        <v>3</v>
      </c>
      <c r="E15">
        <f t="shared" si="0"/>
        <v>0.25</v>
      </c>
      <c r="F15" t="s">
        <v>1840</v>
      </c>
      <c r="G15">
        <v>0</v>
      </c>
      <c r="H15">
        <v>0</v>
      </c>
      <c r="I15">
        <f t="shared" si="1"/>
        <v>0</v>
      </c>
    </row>
    <row r="16" spans="1:9" ht="15" customHeight="1">
      <c r="A16" t="s">
        <v>1513</v>
      </c>
      <c r="B16">
        <f>INDEX('סקר 2026'!$D:$D,MATCH(A16,'סקר 2026'!$A:$A,0))</f>
        <v>0</v>
      </c>
      <c r="C16">
        <f>COUNTIFS('מועמדים 2026'!$A:$A,A16,'מועמדים 2026'!$D:$D,"נ",'מועמדים 2026'!$B:$B,"&lt;="&amp;B16)</f>
        <v>0</v>
      </c>
      <c r="D16">
        <f>COUNTIFS('מועמדים 2026'!$A:$A,A16,'מועמדים 2026'!$D:$D,"ז",'מועמדים 2026'!$B:$B,"&lt;="&amp;B16)</f>
        <v>0</v>
      </c>
      <c r="E16">
        <f t="shared" si="0"/>
        <v>0</v>
      </c>
      <c r="F16" t="s">
        <v>1841</v>
      </c>
      <c r="G16">
        <v>0</v>
      </c>
      <c r="H16">
        <v>0</v>
      </c>
      <c r="I16">
        <f t="shared" si="1"/>
        <v>0</v>
      </c>
    </row>
    <row r="17" spans="1:9" ht="15" customHeight="1">
      <c r="A17" t="s">
        <v>1842</v>
      </c>
      <c r="B17">
        <f>SUM(B2:B15)</f>
        <v>119</v>
      </c>
      <c r="C17">
        <f>SUM(C2:C15)</f>
        <v>32</v>
      </c>
      <c r="D17">
        <f>SUM(D2:D15)</f>
        <v>87</v>
      </c>
      <c r="E17">
        <f t="shared" si="0"/>
        <v>0.26890756302521007</v>
      </c>
      <c r="G17">
        <f>SUM(G2:G15)</f>
        <v>115</v>
      </c>
      <c r="H17">
        <f>SUM(H2:H15)</f>
        <v>28</v>
      </c>
      <c r="I17">
        <f t="shared" si="1"/>
        <v>0.24347826086956523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1"/>
  <sheetViews>
    <sheetView workbookViewId="0">
      <selection activeCell="S2" sqref="S2:S11"/>
    </sheetView>
  </sheetViews>
  <sheetFormatPr defaultRowHeight="15"/>
  <sheetData>
    <row r="1" spans="1:19">
      <c r="A1" t="s">
        <v>0</v>
      </c>
      <c r="B1" t="s">
        <v>1</v>
      </c>
      <c r="C1" t="s">
        <v>1843</v>
      </c>
      <c r="D1" t="s">
        <v>1844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1513</v>
      </c>
    </row>
    <row r="2" spans="1:19">
      <c r="A2" t="s">
        <v>9</v>
      </c>
      <c r="B2" t="s">
        <v>1845</v>
      </c>
      <c r="C2" t="s">
        <v>1846</v>
      </c>
      <c r="D2" t="s">
        <v>1847</v>
      </c>
      <c r="E2">
        <v>29</v>
      </c>
      <c r="F2">
        <v>8</v>
      </c>
      <c r="G2">
        <v>10</v>
      </c>
      <c r="H2">
        <v>0</v>
      </c>
      <c r="I2">
        <v>7</v>
      </c>
      <c r="J2">
        <v>6</v>
      </c>
      <c r="K2">
        <v>8</v>
      </c>
      <c r="L2">
        <v>7</v>
      </c>
      <c r="M2">
        <v>6</v>
      </c>
      <c r="N2">
        <v>7</v>
      </c>
      <c r="O2">
        <v>10</v>
      </c>
      <c r="P2">
        <v>22</v>
      </c>
      <c r="Q2">
        <v>0</v>
      </c>
      <c r="R2">
        <v>0</v>
      </c>
      <c r="S2">
        <v>0</v>
      </c>
    </row>
    <row r="3" spans="1:19">
      <c r="A3" t="s">
        <v>24</v>
      </c>
      <c r="B3" t="s">
        <v>1845</v>
      </c>
      <c r="C3" t="s">
        <v>1848</v>
      </c>
      <c r="D3" t="s">
        <v>1849</v>
      </c>
      <c r="E3">
        <v>21</v>
      </c>
      <c r="F3">
        <v>7</v>
      </c>
      <c r="G3">
        <v>8</v>
      </c>
      <c r="H3">
        <v>0</v>
      </c>
      <c r="I3">
        <v>8</v>
      </c>
      <c r="J3">
        <v>8</v>
      </c>
      <c r="K3">
        <v>9</v>
      </c>
      <c r="L3">
        <v>7</v>
      </c>
      <c r="M3">
        <v>5</v>
      </c>
      <c r="N3">
        <v>8</v>
      </c>
      <c r="O3">
        <v>12</v>
      </c>
      <c r="P3">
        <v>23</v>
      </c>
      <c r="Q3">
        <v>0</v>
      </c>
      <c r="R3">
        <v>4</v>
      </c>
      <c r="S3">
        <v>0</v>
      </c>
    </row>
    <row r="4" spans="1:19">
      <c r="A4" t="s">
        <v>25</v>
      </c>
      <c r="B4" t="s">
        <v>1850</v>
      </c>
      <c r="C4" t="s">
        <v>1851</v>
      </c>
      <c r="D4" t="s">
        <v>1852</v>
      </c>
      <c r="E4">
        <v>18</v>
      </c>
      <c r="F4">
        <v>8</v>
      </c>
      <c r="G4">
        <v>7</v>
      </c>
      <c r="H4">
        <v>0</v>
      </c>
      <c r="I4">
        <v>8</v>
      </c>
      <c r="J4">
        <v>8</v>
      </c>
      <c r="K4">
        <v>9</v>
      </c>
      <c r="L4">
        <v>6</v>
      </c>
      <c r="M4">
        <v>6</v>
      </c>
      <c r="N4">
        <v>8</v>
      </c>
      <c r="O4">
        <v>13</v>
      </c>
      <c r="P4">
        <v>21</v>
      </c>
      <c r="Q4">
        <v>4</v>
      </c>
      <c r="R4">
        <v>4</v>
      </c>
      <c r="S4">
        <v>0</v>
      </c>
    </row>
    <row r="5" spans="1:19">
      <c r="A5" t="s">
        <v>26</v>
      </c>
      <c r="B5" t="s">
        <v>1853</v>
      </c>
      <c r="C5" t="s">
        <v>1848</v>
      </c>
      <c r="D5" t="s">
        <v>1854</v>
      </c>
      <c r="E5">
        <v>21</v>
      </c>
      <c r="F5">
        <v>7</v>
      </c>
      <c r="G5">
        <v>7</v>
      </c>
      <c r="H5">
        <v>0</v>
      </c>
      <c r="I5">
        <v>9</v>
      </c>
      <c r="J5">
        <v>8</v>
      </c>
      <c r="K5">
        <v>8</v>
      </c>
      <c r="L5">
        <v>6</v>
      </c>
      <c r="M5">
        <v>5</v>
      </c>
      <c r="N5">
        <v>9</v>
      </c>
      <c r="O5">
        <v>12</v>
      </c>
      <c r="P5">
        <v>24</v>
      </c>
      <c r="Q5">
        <v>0</v>
      </c>
      <c r="R5">
        <v>4</v>
      </c>
      <c r="S5">
        <v>0</v>
      </c>
    </row>
    <row r="6" spans="1:19">
      <c r="A6" t="s">
        <v>27</v>
      </c>
      <c r="B6" t="s">
        <v>1853</v>
      </c>
      <c r="C6" t="s">
        <v>1855</v>
      </c>
      <c r="D6" t="s">
        <v>1856</v>
      </c>
      <c r="E6">
        <v>20</v>
      </c>
      <c r="F6">
        <v>8</v>
      </c>
      <c r="G6">
        <v>8</v>
      </c>
      <c r="H6">
        <v>0</v>
      </c>
      <c r="I6">
        <v>8</v>
      </c>
      <c r="J6">
        <v>9</v>
      </c>
      <c r="K6">
        <v>8</v>
      </c>
      <c r="L6">
        <v>6</v>
      </c>
      <c r="M6">
        <v>5</v>
      </c>
      <c r="N6">
        <v>7</v>
      </c>
      <c r="O6">
        <v>11</v>
      </c>
      <c r="P6">
        <v>26</v>
      </c>
      <c r="Q6">
        <v>0</v>
      </c>
      <c r="R6">
        <v>4</v>
      </c>
      <c r="S6">
        <v>0</v>
      </c>
    </row>
    <row r="7" spans="1:19">
      <c r="A7" t="s">
        <v>28</v>
      </c>
      <c r="B7" t="s">
        <v>1857</v>
      </c>
      <c r="C7" t="s">
        <v>1858</v>
      </c>
      <c r="D7" t="s">
        <v>1859</v>
      </c>
      <c r="E7">
        <v>18</v>
      </c>
      <c r="F7">
        <v>8</v>
      </c>
      <c r="G7">
        <v>7</v>
      </c>
      <c r="H7">
        <v>0</v>
      </c>
      <c r="I7">
        <v>9</v>
      </c>
      <c r="J7">
        <v>9</v>
      </c>
      <c r="K7">
        <v>9</v>
      </c>
      <c r="L7">
        <v>6</v>
      </c>
      <c r="M7">
        <v>6</v>
      </c>
      <c r="N7">
        <v>8</v>
      </c>
      <c r="O7">
        <v>12</v>
      </c>
      <c r="P7">
        <v>20</v>
      </c>
      <c r="Q7">
        <v>4</v>
      </c>
      <c r="R7">
        <v>4</v>
      </c>
      <c r="S7">
        <v>0</v>
      </c>
    </row>
    <row r="8" spans="1:19">
      <c r="A8" t="s">
        <v>29</v>
      </c>
      <c r="B8" t="s">
        <v>1860</v>
      </c>
      <c r="C8" t="s">
        <v>1861</v>
      </c>
      <c r="D8" t="s">
        <v>1856</v>
      </c>
      <c r="E8">
        <v>18</v>
      </c>
      <c r="F8">
        <v>8</v>
      </c>
      <c r="G8">
        <v>7</v>
      </c>
      <c r="H8">
        <v>0</v>
      </c>
      <c r="I8">
        <v>8</v>
      </c>
      <c r="J8">
        <v>7</v>
      </c>
      <c r="K8">
        <v>9</v>
      </c>
      <c r="L8">
        <v>6</v>
      </c>
      <c r="M8">
        <v>5</v>
      </c>
      <c r="N8">
        <v>9</v>
      </c>
      <c r="O8">
        <v>13</v>
      </c>
      <c r="P8">
        <v>21</v>
      </c>
      <c r="Q8">
        <v>4</v>
      </c>
      <c r="R8">
        <v>5</v>
      </c>
      <c r="S8">
        <v>0</v>
      </c>
    </row>
    <row r="9" spans="1:19">
      <c r="A9" t="s">
        <v>30</v>
      </c>
      <c r="B9" t="s">
        <v>1862</v>
      </c>
      <c r="C9" t="s">
        <v>1863</v>
      </c>
      <c r="D9" t="s">
        <v>1864</v>
      </c>
      <c r="E9">
        <v>20</v>
      </c>
      <c r="F9">
        <v>7</v>
      </c>
      <c r="G9">
        <v>8</v>
      </c>
      <c r="H9">
        <v>0</v>
      </c>
      <c r="I9">
        <v>8</v>
      </c>
      <c r="J9">
        <v>9</v>
      </c>
      <c r="K9">
        <v>9</v>
      </c>
      <c r="L9">
        <v>6</v>
      </c>
      <c r="M9">
        <v>5</v>
      </c>
      <c r="N9">
        <v>8</v>
      </c>
      <c r="O9">
        <v>13</v>
      </c>
      <c r="P9">
        <v>23</v>
      </c>
      <c r="Q9">
        <v>0</v>
      </c>
      <c r="R9">
        <v>4</v>
      </c>
      <c r="S9">
        <v>0</v>
      </c>
    </row>
    <row r="10" spans="1:19">
      <c r="A10" t="s">
        <v>31</v>
      </c>
      <c r="B10" t="s">
        <v>1862</v>
      </c>
      <c r="C10" t="s">
        <v>1851</v>
      </c>
      <c r="D10" t="s">
        <v>1856</v>
      </c>
      <c r="E10">
        <v>20</v>
      </c>
      <c r="F10">
        <v>8</v>
      </c>
      <c r="G10">
        <v>7</v>
      </c>
      <c r="H10">
        <v>0</v>
      </c>
      <c r="I10">
        <v>8</v>
      </c>
      <c r="J10">
        <v>9</v>
      </c>
      <c r="K10">
        <v>10</v>
      </c>
      <c r="L10">
        <v>6</v>
      </c>
      <c r="M10">
        <v>5</v>
      </c>
      <c r="N10">
        <v>8</v>
      </c>
      <c r="O10">
        <v>13</v>
      </c>
      <c r="P10">
        <v>22</v>
      </c>
      <c r="Q10">
        <v>0</v>
      </c>
      <c r="R10">
        <v>4</v>
      </c>
      <c r="S10">
        <v>0</v>
      </c>
    </row>
    <row r="11" spans="1:19">
      <c r="A11" t="s">
        <v>32</v>
      </c>
      <c r="B11" t="s">
        <v>1865</v>
      </c>
      <c r="C11" t="s">
        <v>1866</v>
      </c>
      <c r="D11" t="s">
        <v>1867</v>
      </c>
      <c r="E11">
        <v>26</v>
      </c>
      <c r="F11">
        <v>8</v>
      </c>
      <c r="G11">
        <v>7</v>
      </c>
      <c r="H11">
        <v>0</v>
      </c>
      <c r="I11">
        <v>7</v>
      </c>
      <c r="J11">
        <v>7</v>
      </c>
      <c r="K11">
        <v>10</v>
      </c>
      <c r="L11">
        <v>6</v>
      </c>
      <c r="M11">
        <v>5</v>
      </c>
      <c r="N11">
        <v>9</v>
      </c>
      <c r="O11">
        <v>11</v>
      </c>
      <c r="P11">
        <v>20</v>
      </c>
      <c r="Q11">
        <v>4</v>
      </c>
      <c r="R11">
        <v>0</v>
      </c>
      <c r="S1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1"/>
  <sheetViews>
    <sheetView tabSelected="1" topLeftCell="A112" workbookViewId="0">
      <selection activeCell="I2" sqref="I2:I141"/>
    </sheetView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tr">
        <f>INDEX('סקרים לפי ערוץ'!$B:$B,MATCH($A2,'סקרים לפי ערוץ'!$A:$A,0))</f>
        <v>2026-10-18</v>
      </c>
      <c r="C2" t="s">
        <v>10</v>
      </c>
      <c r="D2">
        <f>INDEX('סקרים לפי ערוץ'!E:E,MATCH($A2,'סקרים לפי ערוץ'!$A:$A,0))</f>
        <v>29</v>
      </c>
      <c r="E2">
        <f>COUNTIFS('מועמדים 2026'!$A:$A,$C2,'מועמדים 2026'!$D:$D,"נ",'מועמדים 2026'!$B:$B,"&lt;="&amp;$D2)</f>
        <v>4</v>
      </c>
      <c r="F2">
        <f>COUNTIFS('מועמדים 2026'!$A:$A,$C2,'מועמדים 2026'!$D:$D,"ז",'מועמדים 2026'!$B:$B,"&lt;="&amp;$D2)</f>
        <v>25</v>
      </c>
      <c r="G2">
        <f t="shared" ref="G2:G33" si="0">IF($D2=0,0,$E2/$D2)</f>
        <v>0.13793103448275862</v>
      </c>
      <c r="H2">
        <f>COUNTIFS('מועמדים 2026'!$A:$A,$C2)</f>
        <v>36</v>
      </c>
      <c r="I2" t="str">
        <f>IF(AND($D2&gt;0,$H2=0),"אין נתוני מועמדים לחישוב",IF(D2&gt;H2,"חסרים מועמדים ברשימה",""))</f>
        <v/>
      </c>
    </row>
    <row r="3" spans="1:9">
      <c r="A3" t="s">
        <v>9</v>
      </c>
      <c r="B3" t="str">
        <f>INDEX('סקרים לפי ערוץ'!$B:$B,MATCH($A3,'סקרים לפי ערוץ'!$A:$A,0))</f>
        <v>2026-10-18</v>
      </c>
      <c r="C3" t="s">
        <v>11</v>
      </c>
      <c r="D3">
        <f>INDEX('סקרים לפי ערוץ'!F:F,MATCH($A3,'סקרים לפי ערוץ'!$A:$A,0))</f>
        <v>8</v>
      </c>
      <c r="E3">
        <f>COUNTIFS('מועמדים 2026'!$A:$A,$C3,'מועמדים 2026'!$D:$D,"נ",'מועמדים 2026'!$B:$B,"&lt;="&amp;$D3)</f>
        <v>0</v>
      </c>
      <c r="F3">
        <f>COUNTIFS('מועמדים 2026'!$A:$A,$C3,'מועמדים 2026'!$D:$D,"ז",'מועמדים 2026'!$B:$B,"&lt;="&amp;$D3)</f>
        <v>8</v>
      </c>
      <c r="G3">
        <f t="shared" si="0"/>
        <v>0</v>
      </c>
      <c r="H3">
        <f>COUNTIFS('מועמדים 2026'!$A:$A,$C3)</f>
        <v>9</v>
      </c>
      <c r="I3" t="str">
        <f t="shared" ref="I3:I66" si="1">IF(AND($D3&gt;0,$H3=0),"אין נתוני מועמדים לחישוב",IF(D3&gt;H3,"חסרים מועמדים ברשימה",""))</f>
        <v/>
      </c>
    </row>
    <row r="4" spans="1:9">
      <c r="A4" t="s">
        <v>9</v>
      </c>
      <c r="B4" t="str">
        <f>INDEX('סקרים לפי ערוץ'!$B:$B,MATCH($A4,'סקרים לפי ערוץ'!$A:$A,0))</f>
        <v>2026-10-18</v>
      </c>
      <c r="C4" t="s">
        <v>12</v>
      </c>
      <c r="D4">
        <f>INDEX('סקרים לפי ערוץ'!G:G,MATCH($A4,'סקרים לפי ערוץ'!$A:$A,0))</f>
        <v>10</v>
      </c>
      <c r="E4">
        <f>COUNTIFS('מועמדים 2026'!$A:$A,$C4,'מועמדים 2026'!$D:$D,"נ",'מועמדים 2026'!$B:$B,"&lt;="&amp;$D4)</f>
        <v>0</v>
      </c>
      <c r="F4">
        <f>COUNTIFS('מועמדים 2026'!$A:$A,$C4,'מועמדים 2026'!$D:$D,"ז",'מועמדים 2026'!$B:$B,"&lt;="&amp;$D4)</f>
        <v>10</v>
      </c>
      <c r="G4">
        <f t="shared" si="0"/>
        <v>0</v>
      </c>
      <c r="H4">
        <f>COUNTIFS('מועמדים 2026'!$A:$A,$C4)</f>
        <v>11</v>
      </c>
      <c r="I4" t="str">
        <f t="shared" si="1"/>
        <v/>
      </c>
    </row>
    <row r="5" spans="1:9">
      <c r="A5" t="s">
        <v>9</v>
      </c>
      <c r="B5" t="str">
        <f>INDEX('סקרים לפי ערוץ'!$B:$B,MATCH($A5,'סקרים לפי ערוץ'!$A:$A,0))</f>
        <v>2026-10-18</v>
      </c>
      <c r="C5" t="s">
        <v>13</v>
      </c>
      <c r="D5">
        <f>INDEX('סקרים לפי ערוץ'!H:H,MATCH($A5,'סקרים לפי ערוץ'!$A:$A,0))</f>
        <v>0</v>
      </c>
      <c r="E5">
        <f>COUNTIFS('מועמדים 2026'!$A:$A,$C5,'מועמדים 2026'!$D:$D,"נ",'מועמדים 2026'!$B:$B,"&lt;="&amp;$D5)</f>
        <v>0</v>
      </c>
      <c r="F5">
        <f>COUNTIFS('מועמדים 2026'!$A:$A,$C5,'מועמדים 2026'!$D:$D,"ז",'מועמדים 2026'!$B:$B,"&lt;="&amp;$D5)</f>
        <v>0</v>
      </c>
      <c r="G5">
        <f t="shared" si="0"/>
        <v>0</v>
      </c>
      <c r="H5">
        <f>COUNTIFS('מועמדים 2026'!$A:$A,$C5)</f>
        <v>5</v>
      </c>
      <c r="I5" t="str">
        <f t="shared" si="1"/>
        <v/>
      </c>
    </row>
    <row r="6" spans="1:9">
      <c r="A6" t="s">
        <v>9</v>
      </c>
      <c r="B6" t="str">
        <f>INDEX('סקרים לפי ערוץ'!$B:$B,MATCH($A6,'סקרים לפי ערוץ'!$A:$A,0))</f>
        <v>2026-10-18</v>
      </c>
      <c r="C6" t="s">
        <v>14</v>
      </c>
      <c r="D6">
        <f>INDEX('סקרים לפי ערוץ'!I:I,MATCH($A6,'סקרים לפי ערוץ'!$A:$A,0))</f>
        <v>7</v>
      </c>
      <c r="E6">
        <f>COUNTIFS('מועמדים 2026'!$A:$A,$C6,'מועמדים 2026'!$D:$D,"נ",'מועמדים 2026'!$B:$B,"&lt;="&amp;$D6)</f>
        <v>1</v>
      </c>
      <c r="F6">
        <f>COUNTIFS('מועמדים 2026'!$A:$A,$C6,'מועמדים 2026'!$D:$D,"ז",'מועמדים 2026'!$B:$B,"&lt;="&amp;$D6)</f>
        <v>6</v>
      </c>
      <c r="G6">
        <f t="shared" si="0"/>
        <v>0.14285714285714285</v>
      </c>
      <c r="H6">
        <f>COUNTIFS('מועמדים 2026'!$A:$A,$C6)</f>
        <v>10</v>
      </c>
      <c r="I6" t="str">
        <f t="shared" si="1"/>
        <v/>
      </c>
    </row>
    <row r="7" spans="1:9">
      <c r="A7" t="s">
        <v>9</v>
      </c>
      <c r="B7" t="str">
        <f>INDEX('סקרים לפי ערוץ'!$B:$B,MATCH($A7,'סקרים לפי ערוץ'!$A:$A,0))</f>
        <v>2026-10-18</v>
      </c>
      <c r="C7" t="s">
        <v>15</v>
      </c>
      <c r="D7">
        <f>INDEX('סקרים לפי ערוץ'!J:J,MATCH($A7,'סקרים לפי ערוץ'!$A:$A,0))</f>
        <v>6</v>
      </c>
      <c r="E7">
        <f>COUNTIFS('מועמדים 2026'!$A:$A,$C7,'מועמדים 2026'!$D:$D,"נ",'מועמדים 2026'!$B:$B,"&lt;="&amp;$D7)</f>
        <v>2</v>
      </c>
      <c r="F7">
        <f>COUNTIFS('מועמדים 2026'!$A:$A,$C7,'מועמדים 2026'!$D:$D,"ז",'מועמדים 2026'!$B:$B,"&lt;="&amp;$D7)</f>
        <v>4</v>
      </c>
      <c r="G7">
        <f t="shared" si="0"/>
        <v>0.33333333333333331</v>
      </c>
      <c r="H7">
        <f>COUNTIFS('מועמדים 2026'!$A:$A,$C7)</f>
        <v>20</v>
      </c>
      <c r="I7" t="str">
        <f t="shared" si="1"/>
        <v/>
      </c>
    </row>
    <row r="8" spans="1:9">
      <c r="A8" t="s">
        <v>9</v>
      </c>
      <c r="B8" t="str">
        <f>INDEX('סקרים לפי ערוץ'!$B:$B,MATCH($A8,'סקרים לפי ערוץ'!$A:$A,0))</f>
        <v>2026-10-18</v>
      </c>
      <c r="C8" t="s">
        <v>16</v>
      </c>
      <c r="D8">
        <f>INDEX('סקרים לפי ערוץ'!K:K,MATCH($A8,'סקרים לפי ערוץ'!$A:$A,0))</f>
        <v>8</v>
      </c>
      <c r="E8">
        <f>COUNTIFS('מועמדים 2026'!$A:$A,$C8,'מועמדים 2026'!$D:$D,"נ",'מועמדים 2026'!$B:$B,"&lt;="&amp;$D8)</f>
        <v>4</v>
      </c>
      <c r="F8">
        <f>COUNTIFS('מועמדים 2026'!$A:$A,$C8,'מועמדים 2026'!$D:$D,"ז",'מועמדים 2026'!$B:$B,"&lt;="&amp;$D8)</f>
        <v>4</v>
      </c>
      <c r="G8">
        <f t="shared" si="0"/>
        <v>0.5</v>
      </c>
      <c r="H8">
        <f>COUNTIFS('מועמדים 2026'!$A:$A,$C8)</f>
        <v>20</v>
      </c>
      <c r="I8" t="str">
        <f t="shared" si="1"/>
        <v/>
      </c>
    </row>
    <row r="9" spans="1:9">
      <c r="A9" t="s">
        <v>9</v>
      </c>
      <c r="B9" t="str">
        <f>INDEX('סקרים לפי ערוץ'!$B:$B,MATCH($A9,'סקרים לפי ערוץ'!$A:$A,0))</f>
        <v>2026-10-18</v>
      </c>
      <c r="C9" t="s">
        <v>17</v>
      </c>
      <c r="D9">
        <f>INDEX('סקרים לפי ערוץ'!L:L,MATCH($A9,'סקרים לפי ערוץ'!$A:$A,0))</f>
        <v>7</v>
      </c>
      <c r="E9">
        <f>COUNTIFS('מועמדים 2026'!$A:$A,$C9,'מועמדים 2026'!$D:$D,"נ",'מועמדים 2026'!$B:$B,"&lt;="&amp;$D9)</f>
        <v>1</v>
      </c>
      <c r="F9">
        <f>COUNTIFS('מועמדים 2026'!$A:$A,$C9,'מועמדים 2026'!$D:$D,"ז",'מועמדים 2026'!$B:$B,"&lt;="&amp;$D9)</f>
        <v>6</v>
      </c>
      <c r="G9">
        <f t="shared" si="0"/>
        <v>0.14285714285714285</v>
      </c>
      <c r="H9">
        <f>COUNTIFS('מועמדים 2026'!$A:$A,$C9)</f>
        <v>18</v>
      </c>
      <c r="I9" t="str">
        <f t="shared" si="1"/>
        <v/>
      </c>
    </row>
    <row r="10" spans="1:9">
      <c r="A10" t="s">
        <v>9</v>
      </c>
      <c r="B10" t="str">
        <f>INDEX('סקרים לפי ערוץ'!$B:$B,MATCH($A10,'סקרים לפי ערוץ'!$A:$A,0))</f>
        <v>2026-10-18</v>
      </c>
      <c r="C10" t="s">
        <v>18</v>
      </c>
      <c r="D10">
        <f>INDEX('סקרים לפי ערוץ'!M:M,MATCH($A10,'סקרים לפי ערוץ'!$A:$A,0))</f>
        <v>6</v>
      </c>
      <c r="E10">
        <f>COUNTIFS('מועמדים 2026'!$A:$A,$C10,'מועמדים 2026'!$D:$D,"נ",'מועמדים 2026'!$B:$B,"&lt;="&amp;$D10)</f>
        <v>1</v>
      </c>
      <c r="F10">
        <f>COUNTIFS('מועמדים 2026'!$A:$A,$C10,'מועמדים 2026'!$D:$D,"ז",'מועמדים 2026'!$B:$B,"&lt;="&amp;$D10)</f>
        <v>5</v>
      </c>
      <c r="G10">
        <f t="shared" si="0"/>
        <v>0.16666666666666666</v>
      </c>
      <c r="H10">
        <f>COUNTIFS('מועמדים 2026'!$A:$A,$C10)</f>
        <v>6</v>
      </c>
      <c r="I10" t="str">
        <f t="shared" si="1"/>
        <v/>
      </c>
    </row>
    <row r="11" spans="1:9">
      <c r="A11" t="s">
        <v>9</v>
      </c>
      <c r="B11" t="str">
        <f>INDEX('סקרים לפי ערוץ'!$B:$B,MATCH($A11,'סקרים לפי ערוץ'!$A:$A,0))</f>
        <v>2026-10-18</v>
      </c>
      <c r="C11" t="s">
        <v>19</v>
      </c>
      <c r="D11">
        <f>INDEX('סקרים לפי ערוץ'!N:N,MATCH($A11,'סקרים לפי ערוץ'!$A:$A,0))</f>
        <v>7</v>
      </c>
      <c r="E11">
        <f>COUNTIFS('מועמדים 2026'!$A:$A,$C11,'מועמדים 2026'!$D:$D,"נ",'מועמדים 2026'!$B:$B,"&lt;="&amp;$D11)</f>
        <v>2</v>
      </c>
      <c r="F11">
        <f>COUNTIFS('מועמדים 2026'!$A:$A,$C11,'מועמדים 2026'!$D:$D,"ז",'מועמדים 2026'!$B:$B,"&lt;="&amp;$D11)</f>
        <v>5</v>
      </c>
      <c r="G11">
        <f t="shared" si="0"/>
        <v>0.2857142857142857</v>
      </c>
      <c r="H11">
        <f>COUNTIFS('מועמדים 2026'!$A:$A,$C11)</f>
        <v>17</v>
      </c>
      <c r="I11" t="str">
        <f t="shared" si="1"/>
        <v/>
      </c>
    </row>
    <row r="12" spans="1:9">
      <c r="A12" t="s">
        <v>9</v>
      </c>
      <c r="B12" t="str">
        <f>INDEX('סקרים לפי ערוץ'!$B:$B,MATCH($A12,'סקרים לפי ערוץ'!$A:$A,0))</f>
        <v>2026-10-18</v>
      </c>
      <c r="C12" t="s">
        <v>20</v>
      </c>
      <c r="D12">
        <f>INDEX('סקרים לפי ערוץ'!O:O,MATCH($A12,'סקרים לפי ערוץ'!$A:$A,0))</f>
        <v>10</v>
      </c>
      <c r="E12">
        <f>COUNTIFS('מועמדים 2026'!$A:$A,$C12,'מועמדים 2026'!$D:$D,"נ",'מועמדים 2026'!$B:$B,"&lt;="&amp;$D12)</f>
        <v>5</v>
      </c>
      <c r="F12">
        <f>COUNTIFS('מועמדים 2026'!$A:$A,$C12,'מועמדים 2026'!$D:$D,"ז",'מועמדים 2026'!$B:$B,"&lt;="&amp;$D12)</f>
        <v>5</v>
      </c>
      <c r="G12">
        <f t="shared" si="0"/>
        <v>0.5</v>
      </c>
      <c r="H12">
        <f>COUNTIFS('מועמדים 2026'!$A:$A,$C12)</f>
        <v>26</v>
      </c>
      <c r="I12" t="str">
        <f t="shared" si="1"/>
        <v/>
      </c>
    </row>
    <row r="13" spans="1:9">
      <c r="A13" t="s">
        <v>9</v>
      </c>
      <c r="B13" t="str">
        <f>INDEX('סקרים לפי ערוץ'!$B:$B,MATCH($A13,'סקרים לפי ערוץ'!$A:$A,0))</f>
        <v>2026-10-18</v>
      </c>
      <c r="C13" t="s">
        <v>21</v>
      </c>
      <c r="D13">
        <f>INDEX('סקרים לפי ערוץ'!P:P,MATCH($A13,'סקרים לפי ערוץ'!$A:$A,0))</f>
        <v>22</v>
      </c>
      <c r="E13">
        <f>COUNTIFS('מועמדים 2026'!$A:$A,$C13,'מועמדים 2026'!$D:$D,"נ",'מועמדים 2026'!$B:$B,"&lt;="&amp;$D13)</f>
        <v>11</v>
      </c>
      <c r="F13">
        <f>COUNTIFS('מועמדים 2026'!$A:$A,$C13,'מועמדים 2026'!$D:$D,"ז",'מועמדים 2026'!$B:$B,"&lt;="&amp;$D13)</f>
        <v>11</v>
      </c>
      <c r="G13">
        <f t="shared" si="0"/>
        <v>0.5</v>
      </c>
      <c r="H13">
        <f>COUNTIFS('מועמדים 2026'!$A:$A,$C13)</f>
        <v>40</v>
      </c>
      <c r="I13" t="str">
        <f t="shared" si="1"/>
        <v/>
      </c>
    </row>
    <row r="14" spans="1:9">
      <c r="A14" t="s">
        <v>9</v>
      </c>
      <c r="B14" t="str">
        <f>INDEX('סקרים לפי ערוץ'!$B:$B,MATCH($A14,'סקרים לפי ערוץ'!$A:$A,0))</f>
        <v>2026-10-18</v>
      </c>
      <c r="C14" t="s">
        <v>22</v>
      </c>
      <c r="D14">
        <f>INDEX('סקרים לפי ערוץ'!Q:Q,MATCH($A14,'סקרים לפי ערוץ'!$A:$A,0))</f>
        <v>0</v>
      </c>
      <c r="E14">
        <f>COUNTIFS('מועמדים 2026'!$A:$A,$C14,'מועמדים 2026'!$D:$D,"נ",'מועמדים 2026'!$B:$B,"&lt;="&amp;$D14)</f>
        <v>0</v>
      </c>
      <c r="F14">
        <f>COUNTIFS('מועמדים 2026'!$A:$A,$C14,'מועמדים 2026'!$D:$D,"ז",'מועמדים 2026'!$B:$B,"&lt;="&amp;$D14)</f>
        <v>0</v>
      </c>
      <c r="G14">
        <f t="shared" si="0"/>
        <v>0</v>
      </c>
      <c r="H14">
        <f>COUNTIFS('מועמדים 2026'!$A:$A,$C14)</f>
        <v>11</v>
      </c>
      <c r="I14" t="str">
        <f t="shared" si="1"/>
        <v/>
      </c>
    </row>
    <row r="15" spans="1:9">
      <c r="A15" t="s">
        <v>9</v>
      </c>
      <c r="B15" t="str">
        <f>INDEX('סקרים לפי ערוץ'!$B:$B,MATCH($A15,'סקרים לפי ערוץ'!$A:$A,0))</f>
        <v>2026-10-18</v>
      </c>
      <c r="C15" t="s">
        <v>23</v>
      </c>
      <c r="D15">
        <f>INDEX('סקרים לפי ערוץ'!R:R,MATCH($A15,'סקרים לפי ערוץ'!$A:$A,0))</f>
        <v>0</v>
      </c>
      <c r="E15">
        <f>COUNTIFS('מועמדים 2026'!$A:$A,$C15,'מועמדים 2026'!$D:$D,"נ",'מועמדים 2026'!$B:$B,"&lt;="&amp;$D15)</f>
        <v>0</v>
      </c>
      <c r="F15">
        <f>COUNTIFS('מועמדים 2026'!$A:$A,$C15,'מועמדים 2026'!$D:$D,"ז",'מועמדים 2026'!$B:$B,"&lt;="&amp;$D15)</f>
        <v>0</v>
      </c>
      <c r="G15">
        <f t="shared" si="0"/>
        <v>0</v>
      </c>
      <c r="H15">
        <f>COUNTIFS('מועמדים 2026'!$A:$A,$C15)</f>
        <v>20</v>
      </c>
      <c r="I15" t="str">
        <f t="shared" si="1"/>
        <v/>
      </c>
    </row>
    <row r="16" spans="1:9">
      <c r="A16" t="s">
        <v>24</v>
      </c>
      <c r="B16" t="str">
        <f>INDEX('סקרים לפי ערוץ'!$B:$B,MATCH($A16,'סקרים לפי ערוץ'!$A:$A,0))</f>
        <v>2026-10-18</v>
      </c>
      <c r="C16" t="s">
        <v>10</v>
      </c>
      <c r="D16">
        <f>INDEX('סקרים לפי ערוץ'!E:E,MATCH($A16,'סקרים לפי ערוץ'!$A:$A,0))</f>
        <v>21</v>
      </c>
      <c r="E16">
        <f>COUNTIFS('מועמדים 2026'!$A:$A,$C16,'מועמדים 2026'!$D:$D,"נ",'מועמדים 2026'!$B:$B,"&lt;="&amp;$D16)</f>
        <v>3</v>
      </c>
      <c r="F16">
        <f>COUNTIFS('מועמדים 2026'!$A:$A,$C16,'מועמדים 2026'!$D:$D,"ז",'מועמדים 2026'!$B:$B,"&lt;="&amp;$D16)</f>
        <v>18</v>
      </c>
      <c r="G16">
        <f t="shared" si="0"/>
        <v>0.14285714285714285</v>
      </c>
      <c r="H16">
        <f>COUNTIFS('מועמדים 2026'!$A:$A,$C16)</f>
        <v>36</v>
      </c>
      <c r="I16" t="str">
        <f t="shared" si="1"/>
        <v/>
      </c>
    </row>
    <row r="17" spans="1:9">
      <c r="A17" t="s">
        <v>24</v>
      </c>
      <c r="B17" t="str">
        <f>INDEX('סקרים לפי ערוץ'!$B:$B,MATCH($A17,'סקרים לפי ערוץ'!$A:$A,0))</f>
        <v>2026-10-18</v>
      </c>
      <c r="C17" t="s">
        <v>11</v>
      </c>
      <c r="D17">
        <f>INDEX('סקרים לפי ערוץ'!F:F,MATCH($A17,'סקרים לפי ערוץ'!$A:$A,0))</f>
        <v>7</v>
      </c>
      <c r="E17">
        <f>COUNTIFS('מועמדים 2026'!$A:$A,$C17,'מועמדים 2026'!$D:$D,"נ",'מועמדים 2026'!$B:$B,"&lt;="&amp;$D17)</f>
        <v>0</v>
      </c>
      <c r="F17">
        <f>COUNTIFS('מועמדים 2026'!$A:$A,$C17,'מועמדים 2026'!$D:$D,"ז",'מועמדים 2026'!$B:$B,"&lt;="&amp;$D17)</f>
        <v>7</v>
      </c>
      <c r="G17">
        <f t="shared" si="0"/>
        <v>0</v>
      </c>
      <c r="H17">
        <f>COUNTIFS('מועמדים 2026'!$A:$A,$C17)</f>
        <v>9</v>
      </c>
      <c r="I17" t="str">
        <f t="shared" si="1"/>
        <v/>
      </c>
    </row>
    <row r="18" spans="1:9">
      <c r="A18" t="s">
        <v>24</v>
      </c>
      <c r="B18" t="str">
        <f>INDEX('סקרים לפי ערוץ'!$B:$B,MATCH($A18,'סקרים לפי ערוץ'!$A:$A,0))</f>
        <v>2026-10-18</v>
      </c>
      <c r="C18" t="s">
        <v>12</v>
      </c>
      <c r="D18">
        <f>INDEX('סקרים לפי ערוץ'!G:G,MATCH($A18,'סקרים לפי ערוץ'!$A:$A,0))</f>
        <v>8</v>
      </c>
      <c r="E18">
        <f>COUNTIFS('מועמדים 2026'!$A:$A,$C18,'מועמדים 2026'!$D:$D,"נ",'מועמדים 2026'!$B:$B,"&lt;="&amp;$D18)</f>
        <v>0</v>
      </c>
      <c r="F18">
        <f>COUNTIFS('מועמדים 2026'!$A:$A,$C18,'מועמדים 2026'!$D:$D,"ז",'מועמדים 2026'!$B:$B,"&lt;="&amp;$D18)</f>
        <v>8</v>
      </c>
      <c r="G18">
        <f t="shared" si="0"/>
        <v>0</v>
      </c>
      <c r="H18">
        <f>COUNTIFS('מועמדים 2026'!$A:$A,$C18)</f>
        <v>11</v>
      </c>
      <c r="I18" t="str">
        <f t="shared" si="1"/>
        <v/>
      </c>
    </row>
    <row r="19" spans="1:9">
      <c r="A19" t="s">
        <v>24</v>
      </c>
      <c r="B19" t="str">
        <f>INDEX('סקרים לפי ערוץ'!$B:$B,MATCH($A19,'סקרים לפי ערוץ'!$A:$A,0))</f>
        <v>2026-10-18</v>
      </c>
      <c r="C19" t="s">
        <v>13</v>
      </c>
      <c r="D19">
        <f>INDEX('סקרים לפי ערוץ'!H:H,MATCH($A19,'סקרים לפי ערוץ'!$A:$A,0))</f>
        <v>0</v>
      </c>
      <c r="E19">
        <f>COUNTIFS('מועמדים 2026'!$A:$A,$C19,'מועמדים 2026'!$D:$D,"נ",'מועמדים 2026'!$B:$B,"&lt;="&amp;$D19)</f>
        <v>0</v>
      </c>
      <c r="F19">
        <f>COUNTIFS('מועמדים 2026'!$A:$A,$C19,'מועמדים 2026'!$D:$D,"ז",'מועמדים 2026'!$B:$B,"&lt;="&amp;$D19)</f>
        <v>0</v>
      </c>
      <c r="G19">
        <f t="shared" si="0"/>
        <v>0</v>
      </c>
      <c r="H19">
        <f>COUNTIFS('מועמדים 2026'!$A:$A,$C19)</f>
        <v>5</v>
      </c>
      <c r="I19" t="str">
        <f t="shared" si="1"/>
        <v/>
      </c>
    </row>
    <row r="20" spans="1:9">
      <c r="A20" t="s">
        <v>24</v>
      </c>
      <c r="B20" t="str">
        <f>INDEX('סקרים לפי ערוץ'!$B:$B,MATCH($A20,'סקרים לפי ערוץ'!$A:$A,0))</f>
        <v>2026-10-18</v>
      </c>
      <c r="C20" t="s">
        <v>14</v>
      </c>
      <c r="D20">
        <f>INDEX('סקרים לפי ערוץ'!I:I,MATCH($A20,'סקרים לפי ערוץ'!$A:$A,0))</f>
        <v>8</v>
      </c>
      <c r="E20">
        <f>COUNTIFS('מועמדים 2026'!$A:$A,$C20,'מועמדים 2026'!$D:$D,"נ",'מועמדים 2026'!$B:$B,"&lt;="&amp;$D20)</f>
        <v>1</v>
      </c>
      <c r="F20">
        <f>COUNTIFS('מועמדים 2026'!$A:$A,$C20,'מועמדים 2026'!$D:$D,"ז",'מועמדים 2026'!$B:$B,"&lt;="&amp;$D20)</f>
        <v>7</v>
      </c>
      <c r="G20">
        <f t="shared" si="0"/>
        <v>0.125</v>
      </c>
      <c r="H20">
        <f>COUNTIFS('מועמדים 2026'!$A:$A,$C20)</f>
        <v>10</v>
      </c>
      <c r="I20" t="str">
        <f t="shared" si="1"/>
        <v/>
      </c>
    </row>
    <row r="21" spans="1:9">
      <c r="A21" t="s">
        <v>24</v>
      </c>
      <c r="B21" t="str">
        <f>INDEX('סקרים לפי ערוץ'!$B:$B,MATCH($A21,'סקרים לפי ערוץ'!$A:$A,0))</f>
        <v>2026-10-18</v>
      </c>
      <c r="C21" t="s">
        <v>15</v>
      </c>
      <c r="D21">
        <f>INDEX('סקרים לפי ערוץ'!J:J,MATCH($A21,'סקרים לפי ערוץ'!$A:$A,0))</f>
        <v>8</v>
      </c>
      <c r="E21">
        <f>COUNTIFS('מועמדים 2026'!$A:$A,$C21,'מועמדים 2026'!$D:$D,"נ",'מועמדים 2026'!$B:$B,"&lt;="&amp;$D21)</f>
        <v>2</v>
      </c>
      <c r="F21">
        <f>COUNTIFS('מועמדים 2026'!$A:$A,$C21,'מועמדים 2026'!$D:$D,"ז",'מועמדים 2026'!$B:$B,"&lt;="&amp;$D21)</f>
        <v>6</v>
      </c>
      <c r="G21">
        <f t="shared" si="0"/>
        <v>0.25</v>
      </c>
      <c r="H21">
        <f>COUNTIFS('מועמדים 2026'!$A:$A,$C21)</f>
        <v>20</v>
      </c>
      <c r="I21" t="str">
        <f t="shared" si="1"/>
        <v/>
      </c>
    </row>
    <row r="22" spans="1:9">
      <c r="A22" t="s">
        <v>24</v>
      </c>
      <c r="B22" t="str">
        <f>INDEX('סקרים לפי ערוץ'!$B:$B,MATCH($A22,'סקרים לפי ערוץ'!$A:$A,0))</f>
        <v>2026-10-18</v>
      </c>
      <c r="C22" t="s">
        <v>16</v>
      </c>
      <c r="D22">
        <f>INDEX('סקרים לפי ערוץ'!K:K,MATCH($A22,'סקרים לפי ערוץ'!$A:$A,0))</f>
        <v>9</v>
      </c>
      <c r="E22">
        <f>COUNTIFS('מועמדים 2026'!$A:$A,$C22,'מועמדים 2026'!$D:$D,"נ",'מועמדים 2026'!$B:$B,"&lt;="&amp;$D22)</f>
        <v>4</v>
      </c>
      <c r="F22">
        <f>COUNTIFS('מועמדים 2026'!$A:$A,$C22,'מועמדים 2026'!$D:$D,"ז",'מועמדים 2026'!$B:$B,"&lt;="&amp;$D22)</f>
        <v>5</v>
      </c>
      <c r="G22">
        <f t="shared" si="0"/>
        <v>0.44444444444444442</v>
      </c>
      <c r="H22">
        <f>COUNTIFS('מועמדים 2026'!$A:$A,$C22)</f>
        <v>20</v>
      </c>
      <c r="I22" t="str">
        <f t="shared" si="1"/>
        <v/>
      </c>
    </row>
    <row r="23" spans="1:9">
      <c r="A23" t="s">
        <v>24</v>
      </c>
      <c r="B23" t="str">
        <f>INDEX('סקרים לפי ערוץ'!$B:$B,MATCH($A23,'סקרים לפי ערוץ'!$A:$A,0))</f>
        <v>2026-10-18</v>
      </c>
      <c r="C23" t="s">
        <v>17</v>
      </c>
      <c r="D23">
        <f>INDEX('סקרים לפי ערוץ'!L:L,MATCH($A23,'סקרים לפי ערוץ'!$A:$A,0))</f>
        <v>7</v>
      </c>
      <c r="E23">
        <f>COUNTIFS('מועמדים 2026'!$A:$A,$C23,'מועמדים 2026'!$D:$D,"נ",'מועמדים 2026'!$B:$B,"&lt;="&amp;$D23)</f>
        <v>1</v>
      </c>
      <c r="F23">
        <f>COUNTIFS('מועמדים 2026'!$A:$A,$C23,'מועמדים 2026'!$D:$D,"ז",'מועמדים 2026'!$B:$B,"&lt;="&amp;$D23)</f>
        <v>6</v>
      </c>
      <c r="G23">
        <f t="shared" si="0"/>
        <v>0.14285714285714285</v>
      </c>
      <c r="H23">
        <f>COUNTIFS('מועמדים 2026'!$A:$A,$C23)</f>
        <v>18</v>
      </c>
      <c r="I23" t="str">
        <f t="shared" si="1"/>
        <v/>
      </c>
    </row>
    <row r="24" spans="1:9">
      <c r="A24" t="s">
        <v>24</v>
      </c>
      <c r="B24" t="str">
        <f>INDEX('סקרים לפי ערוץ'!$B:$B,MATCH($A24,'סקרים לפי ערוץ'!$A:$A,0))</f>
        <v>2026-10-18</v>
      </c>
      <c r="C24" t="s">
        <v>18</v>
      </c>
      <c r="D24">
        <f>INDEX('סקרים לפי ערוץ'!M:M,MATCH($A24,'סקרים לפי ערוץ'!$A:$A,0))</f>
        <v>5</v>
      </c>
      <c r="E24">
        <f>COUNTIFS('מועמדים 2026'!$A:$A,$C24,'מועמדים 2026'!$D:$D,"נ",'מועמדים 2026'!$B:$B,"&lt;="&amp;$D24)</f>
        <v>1</v>
      </c>
      <c r="F24">
        <f>COUNTIFS('מועמדים 2026'!$A:$A,$C24,'מועמדים 2026'!$D:$D,"ז",'מועמדים 2026'!$B:$B,"&lt;="&amp;$D24)</f>
        <v>4</v>
      </c>
      <c r="G24">
        <f t="shared" si="0"/>
        <v>0.2</v>
      </c>
      <c r="H24">
        <f>COUNTIFS('מועמדים 2026'!$A:$A,$C24)</f>
        <v>6</v>
      </c>
      <c r="I24" t="str">
        <f t="shared" si="1"/>
        <v/>
      </c>
    </row>
    <row r="25" spans="1:9">
      <c r="A25" t="s">
        <v>24</v>
      </c>
      <c r="B25" t="str">
        <f>INDEX('סקרים לפי ערוץ'!$B:$B,MATCH($A25,'סקרים לפי ערוץ'!$A:$A,0))</f>
        <v>2026-10-18</v>
      </c>
      <c r="C25" t="s">
        <v>19</v>
      </c>
      <c r="D25">
        <f>INDEX('סקרים לפי ערוץ'!N:N,MATCH($A25,'סקרים לפי ערוץ'!$A:$A,0))</f>
        <v>8</v>
      </c>
      <c r="E25">
        <f>COUNTIFS('מועמדים 2026'!$A:$A,$C25,'מועמדים 2026'!$D:$D,"נ",'מועמדים 2026'!$B:$B,"&lt;="&amp;$D25)</f>
        <v>2</v>
      </c>
      <c r="F25">
        <f>COUNTIFS('מועמדים 2026'!$A:$A,$C25,'מועמדים 2026'!$D:$D,"ז",'מועמדים 2026'!$B:$B,"&lt;="&amp;$D25)</f>
        <v>6</v>
      </c>
      <c r="G25">
        <f t="shared" si="0"/>
        <v>0.25</v>
      </c>
      <c r="H25">
        <f>COUNTIFS('מועמדים 2026'!$A:$A,$C25)</f>
        <v>17</v>
      </c>
      <c r="I25" t="str">
        <f t="shared" si="1"/>
        <v/>
      </c>
    </row>
    <row r="26" spans="1:9">
      <c r="A26" t="s">
        <v>24</v>
      </c>
      <c r="B26" t="str">
        <f>INDEX('סקרים לפי ערוץ'!$B:$B,MATCH($A26,'סקרים לפי ערוץ'!$A:$A,0))</f>
        <v>2026-10-18</v>
      </c>
      <c r="C26" t="s">
        <v>20</v>
      </c>
      <c r="D26">
        <f>INDEX('סקרים לפי ערוץ'!O:O,MATCH($A26,'סקרים לפי ערוץ'!$A:$A,0))</f>
        <v>12</v>
      </c>
      <c r="E26">
        <f>COUNTIFS('מועמדים 2026'!$A:$A,$C26,'מועמדים 2026'!$D:$D,"נ",'מועמדים 2026'!$B:$B,"&lt;="&amp;$D26)</f>
        <v>6</v>
      </c>
      <c r="F26">
        <f>COUNTIFS('מועמדים 2026'!$A:$A,$C26,'מועמדים 2026'!$D:$D,"ז",'מועמדים 2026'!$B:$B,"&lt;="&amp;$D26)</f>
        <v>6</v>
      </c>
      <c r="G26">
        <f t="shared" si="0"/>
        <v>0.5</v>
      </c>
      <c r="H26">
        <f>COUNTIFS('מועמדים 2026'!$A:$A,$C26)</f>
        <v>26</v>
      </c>
      <c r="I26" t="str">
        <f t="shared" si="1"/>
        <v/>
      </c>
    </row>
    <row r="27" spans="1:9">
      <c r="A27" t="s">
        <v>24</v>
      </c>
      <c r="B27" t="str">
        <f>INDEX('סקרים לפי ערוץ'!$B:$B,MATCH($A27,'סקרים לפי ערוץ'!$A:$A,0))</f>
        <v>2026-10-18</v>
      </c>
      <c r="C27" t="s">
        <v>21</v>
      </c>
      <c r="D27">
        <f>INDEX('סקרים לפי ערוץ'!P:P,MATCH($A27,'סקרים לפי ערוץ'!$A:$A,0))</f>
        <v>23</v>
      </c>
      <c r="E27">
        <f>COUNTIFS('מועמדים 2026'!$A:$A,$C27,'מועמדים 2026'!$D:$D,"נ",'מועמדים 2026'!$B:$B,"&lt;="&amp;$D27)</f>
        <v>11</v>
      </c>
      <c r="F27">
        <f>COUNTIFS('מועמדים 2026'!$A:$A,$C27,'מועמדים 2026'!$D:$D,"ז",'מועמדים 2026'!$B:$B,"&lt;="&amp;$D27)</f>
        <v>12</v>
      </c>
      <c r="G27">
        <f t="shared" si="0"/>
        <v>0.47826086956521741</v>
      </c>
      <c r="H27">
        <f>COUNTIFS('מועמדים 2026'!$A:$A,$C27)</f>
        <v>40</v>
      </c>
      <c r="I27" t="str">
        <f t="shared" si="1"/>
        <v/>
      </c>
    </row>
    <row r="28" spans="1:9">
      <c r="A28" t="s">
        <v>24</v>
      </c>
      <c r="B28" t="str">
        <f>INDEX('סקרים לפי ערוץ'!$B:$B,MATCH($A28,'סקרים לפי ערוץ'!$A:$A,0))</f>
        <v>2026-10-18</v>
      </c>
      <c r="C28" t="s">
        <v>22</v>
      </c>
      <c r="D28">
        <f>INDEX('סקרים לפי ערוץ'!Q:Q,MATCH($A28,'סקרים לפי ערוץ'!$A:$A,0))</f>
        <v>0</v>
      </c>
      <c r="E28">
        <f>COUNTIFS('מועמדים 2026'!$A:$A,$C28,'מועמדים 2026'!$D:$D,"נ",'מועמדים 2026'!$B:$B,"&lt;="&amp;$D28)</f>
        <v>0</v>
      </c>
      <c r="F28">
        <f>COUNTIFS('מועמדים 2026'!$A:$A,$C28,'מועמדים 2026'!$D:$D,"ז",'מועמדים 2026'!$B:$B,"&lt;="&amp;$D28)</f>
        <v>0</v>
      </c>
      <c r="G28">
        <f t="shared" si="0"/>
        <v>0</v>
      </c>
      <c r="H28">
        <f>COUNTIFS('מועמדים 2026'!$A:$A,$C28)</f>
        <v>11</v>
      </c>
      <c r="I28" t="str">
        <f t="shared" si="1"/>
        <v/>
      </c>
    </row>
    <row r="29" spans="1:9">
      <c r="A29" t="s">
        <v>24</v>
      </c>
      <c r="B29" t="str">
        <f>INDEX('סקרים לפי ערוץ'!$B:$B,MATCH($A29,'סקרים לפי ערוץ'!$A:$A,0))</f>
        <v>2026-10-18</v>
      </c>
      <c r="C29" t="s">
        <v>23</v>
      </c>
      <c r="D29">
        <f>INDEX('סקרים לפי ערוץ'!R:R,MATCH($A29,'סקרים לפי ערוץ'!$A:$A,0))</f>
        <v>4</v>
      </c>
      <c r="E29">
        <f>COUNTIFS('מועמדים 2026'!$A:$A,$C29,'מועמדים 2026'!$D:$D,"נ",'מועמדים 2026'!$B:$B,"&lt;="&amp;$D29)</f>
        <v>1</v>
      </c>
      <c r="F29">
        <f>COUNTIFS('מועמדים 2026'!$A:$A,$C29,'מועמדים 2026'!$D:$D,"ז",'מועמדים 2026'!$B:$B,"&lt;="&amp;$D29)</f>
        <v>3</v>
      </c>
      <c r="G29">
        <f t="shared" si="0"/>
        <v>0.25</v>
      </c>
      <c r="H29">
        <f>COUNTIFS('מועמדים 2026'!$A:$A,$C29)</f>
        <v>20</v>
      </c>
      <c r="I29" t="str">
        <f t="shared" si="1"/>
        <v/>
      </c>
    </row>
    <row r="30" spans="1:9">
      <c r="A30" t="s">
        <v>25</v>
      </c>
      <c r="B30" t="str">
        <f>INDEX('סקרים לפי ערוץ'!$B:$B,MATCH($A30,'סקרים לפי ערוץ'!$A:$A,0))</f>
        <v>2026-10-16</v>
      </c>
      <c r="C30" t="s">
        <v>10</v>
      </c>
      <c r="D30">
        <f>INDEX('סקרים לפי ערוץ'!E:E,MATCH($A30,'סקרים לפי ערוץ'!$A:$A,0))</f>
        <v>18</v>
      </c>
      <c r="E30">
        <f>COUNTIFS('מועמדים 2026'!$A:$A,$C30,'מועמדים 2026'!$D:$D,"נ",'מועמדים 2026'!$B:$B,"&lt;="&amp;$D30)</f>
        <v>2</v>
      </c>
      <c r="F30">
        <f>COUNTIFS('מועמדים 2026'!$A:$A,$C30,'מועמדים 2026'!$D:$D,"ז",'מועמדים 2026'!$B:$B,"&lt;="&amp;$D30)</f>
        <v>16</v>
      </c>
      <c r="G30">
        <f t="shared" si="0"/>
        <v>0.1111111111111111</v>
      </c>
      <c r="H30">
        <f>COUNTIFS('מועמדים 2026'!$A:$A,$C30)</f>
        <v>36</v>
      </c>
      <c r="I30" t="str">
        <f t="shared" si="1"/>
        <v/>
      </c>
    </row>
    <row r="31" spans="1:9">
      <c r="A31" t="s">
        <v>25</v>
      </c>
      <c r="B31" t="str">
        <f>INDEX('סקרים לפי ערוץ'!$B:$B,MATCH($A31,'סקרים לפי ערוץ'!$A:$A,0))</f>
        <v>2026-10-16</v>
      </c>
      <c r="C31" t="s">
        <v>11</v>
      </c>
      <c r="D31">
        <f>INDEX('סקרים לפי ערוץ'!F:F,MATCH($A31,'סקרים לפי ערוץ'!$A:$A,0))</f>
        <v>8</v>
      </c>
      <c r="E31">
        <f>COUNTIFS('מועמדים 2026'!$A:$A,$C31,'מועמדים 2026'!$D:$D,"נ",'מועמדים 2026'!$B:$B,"&lt;="&amp;$D31)</f>
        <v>0</v>
      </c>
      <c r="F31">
        <f>COUNTIFS('מועמדים 2026'!$A:$A,$C31,'מועמדים 2026'!$D:$D,"ז",'מועמדים 2026'!$B:$B,"&lt;="&amp;$D31)</f>
        <v>8</v>
      </c>
      <c r="G31">
        <f t="shared" si="0"/>
        <v>0</v>
      </c>
      <c r="H31">
        <f>COUNTIFS('מועמדים 2026'!$A:$A,$C31)</f>
        <v>9</v>
      </c>
      <c r="I31" t="str">
        <f t="shared" si="1"/>
        <v/>
      </c>
    </row>
    <row r="32" spans="1:9">
      <c r="A32" t="s">
        <v>25</v>
      </c>
      <c r="B32" t="str">
        <f>INDEX('סקרים לפי ערוץ'!$B:$B,MATCH($A32,'סקרים לפי ערוץ'!$A:$A,0))</f>
        <v>2026-10-16</v>
      </c>
      <c r="C32" t="s">
        <v>12</v>
      </c>
      <c r="D32">
        <f>INDEX('סקרים לפי ערוץ'!G:G,MATCH($A32,'סקרים לפי ערוץ'!$A:$A,0))</f>
        <v>7</v>
      </c>
      <c r="E32">
        <f>COUNTIFS('מועמדים 2026'!$A:$A,$C32,'מועמדים 2026'!$D:$D,"נ",'מועמדים 2026'!$B:$B,"&lt;="&amp;$D32)</f>
        <v>0</v>
      </c>
      <c r="F32">
        <f>COUNTIFS('מועמדים 2026'!$A:$A,$C32,'מועמדים 2026'!$D:$D,"ז",'מועמדים 2026'!$B:$B,"&lt;="&amp;$D32)</f>
        <v>7</v>
      </c>
      <c r="G32">
        <f t="shared" si="0"/>
        <v>0</v>
      </c>
      <c r="H32">
        <f>COUNTIFS('מועמדים 2026'!$A:$A,$C32)</f>
        <v>11</v>
      </c>
      <c r="I32" t="str">
        <f t="shared" si="1"/>
        <v/>
      </c>
    </row>
    <row r="33" spans="1:9">
      <c r="A33" t="s">
        <v>25</v>
      </c>
      <c r="B33" t="str">
        <f>INDEX('סקרים לפי ערוץ'!$B:$B,MATCH($A33,'סקרים לפי ערוץ'!$A:$A,0))</f>
        <v>2026-10-16</v>
      </c>
      <c r="C33" t="s">
        <v>13</v>
      </c>
      <c r="D33">
        <f>INDEX('סקרים לפי ערוץ'!H:H,MATCH($A33,'סקרים לפי ערוץ'!$A:$A,0))</f>
        <v>0</v>
      </c>
      <c r="E33">
        <f>COUNTIFS('מועמדים 2026'!$A:$A,$C33,'מועמדים 2026'!$D:$D,"נ",'מועמדים 2026'!$B:$B,"&lt;="&amp;$D33)</f>
        <v>0</v>
      </c>
      <c r="F33">
        <f>COUNTIFS('מועמדים 2026'!$A:$A,$C33,'מועמדים 2026'!$D:$D,"ז",'מועמדים 2026'!$B:$B,"&lt;="&amp;$D33)</f>
        <v>0</v>
      </c>
      <c r="G33">
        <f t="shared" si="0"/>
        <v>0</v>
      </c>
      <c r="H33">
        <f>COUNTIFS('מועמדים 2026'!$A:$A,$C33)</f>
        <v>5</v>
      </c>
      <c r="I33" t="str">
        <f t="shared" si="1"/>
        <v/>
      </c>
    </row>
    <row r="34" spans="1:9">
      <c r="A34" t="s">
        <v>25</v>
      </c>
      <c r="B34" t="str">
        <f>INDEX('סקרים לפי ערוץ'!$B:$B,MATCH($A34,'סקרים לפי ערוץ'!$A:$A,0))</f>
        <v>2026-10-16</v>
      </c>
      <c r="C34" t="s">
        <v>14</v>
      </c>
      <c r="D34">
        <f>INDEX('סקרים לפי ערוץ'!I:I,MATCH($A34,'סקרים לפי ערוץ'!$A:$A,0))</f>
        <v>8</v>
      </c>
      <c r="E34">
        <f>COUNTIFS('מועמדים 2026'!$A:$A,$C34,'מועמדים 2026'!$D:$D,"נ",'מועמדים 2026'!$B:$B,"&lt;="&amp;$D34)</f>
        <v>1</v>
      </c>
      <c r="F34">
        <f>COUNTIFS('מועמדים 2026'!$A:$A,$C34,'מועמדים 2026'!$D:$D,"ז",'מועמדים 2026'!$B:$B,"&lt;="&amp;$D34)</f>
        <v>7</v>
      </c>
      <c r="G34">
        <f t="shared" ref="G34:G65" si="2">IF($D34=0,0,$E34/$D34)</f>
        <v>0.125</v>
      </c>
      <c r="H34">
        <f>COUNTIFS('מועמדים 2026'!$A:$A,$C34)</f>
        <v>10</v>
      </c>
      <c r="I34" t="str">
        <f t="shared" si="1"/>
        <v/>
      </c>
    </row>
    <row r="35" spans="1:9">
      <c r="A35" t="s">
        <v>25</v>
      </c>
      <c r="B35" t="str">
        <f>INDEX('סקרים לפי ערוץ'!$B:$B,MATCH($A35,'סקרים לפי ערוץ'!$A:$A,0))</f>
        <v>2026-10-16</v>
      </c>
      <c r="C35" t="s">
        <v>15</v>
      </c>
      <c r="D35">
        <f>INDEX('סקרים לפי ערוץ'!J:J,MATCH($A35,'סקרים לפי ערוץ'!$A:$A,0))</f>
        <v>8</v>
      </c>
      <c r="E35">
        <f>COUNTIFS('מועמדים 2026'!$A:$A,$C35,'מועמדים 2026'!$D:$D,"נ",'מועמדים 2026'!$B:$B,"&lt;="&amp;$D35)</f>
        <v>2</v>
      </c>
      <c r="F35">
        <f>COUNTIFS('מועמדים 2026'!$A:$A,$C35,'מועמדים 2026'!$D:$D,"ז",'מועמדים 2026'!$B:$B,"&lt;="&amp;$D35)</f>
        <v>6</v>
      </c>
      <c r="G35">
        <f t="shared" si="2"/>
        <v>0.25</v>
      </c>
      <c r="H35">
        <f>COUNTIFS('מועמדים 2026'!$A:$A,$C35)</f>
        <v>20</v>
      </c>
      <c r="I35" t="str">
        <f t="shared" si="1"/>
        <v/>
      </c>
    </row>
    <row r="36" spans="1:9">
      <c r="A36" t="s">
        <v>25</v>
      </c>
      <c r="B36" t="str">
        <f>INDEX('סקרים לפי ערוץ'!$B:$B,MATCH($A36,'סקרים לפי ערוץ'!$A:$A,0))</f>
        <v>2026-10-16</v>
      </c>
      <c r="C36" t="s">
        <v>16</v>
      </c>
      <c r="D36">
        <f>INDEX('סקרים לפי ערוץ'!K:K,MATCH($A36,'סקרים לפי ערוץ'!$A:$A,0))</f>
        <v>9</v>
      </c>
      <c r="E36">
        <f>COUNTIFS('מועמדים 2026'!$A:$A,$C36,'מועמדים 2026'!$D:$D,"נ",'מועמדים 2026'!$B:$B,"&lt;="&amp;$D36)</f>
        <v>4</v>
      </c>
      <c r="F36">
        <f>COUNTIFS('מועמדים 2026'!$A:$A,$C36,'מועמדים 2026'!$D:$D,"ז",'מועמדים 2026'!$B:$B,"&lt;="&amp;$D36)</f>
        <v>5</v>
      </c>
      <c r="G36">
        <f t="shared" si="2"/>
        <v>0.44444444444444442</v>
      </c>
      <c r="H36">
        <f>COUNTIFS('מועמדים 2026'!$A:$A,$C36)</f>
        <v>20</v>
      </c>
      <c r="I36" t="str">
        <f t="shared" si="1"/>
        <v/>
      </c>
    </row>
    <row r="37" spans="1:9">
      <c r="A37" t="s">
        <v>25</v>
      </c>
      <c r="B37" t="str">
        <f>INDEX('סקרים לפי ערוץ'!$B:$B,MATCH($A37,'סקרים לפי ערוץ'!$A:$A,0))</f>
        <v>2026-10-16</v>
      </c>
      <c r="C37" t="s">
        <v>17</v>
      </c>
      <c r="D37">
        <f>INDEX('סקרים לפי ערוץ'!L:L,MATCH($A37,'סקרים לפי ערוץ'!$A:$A,0))</f>
        <v>6</v>
      </c>
      <c r="E37">
        <f>COUNTIFS('מועמדים 2026'!$A:$A,$C37,'מועמדים 2026'!$D:$D,"נ",'מועמדים 2026'!$B:$B,"&lt;="&amp;$D37)</f>
        <v>1</v>
      </c>
      <c r="F37">
        <f>COUNTIFS('מועמדים 2026'!$A:$A,$C37,'מועמדים 2026'!$D:$D,"ז",'מועמדים 2026'!$B:$B,"&lt;="&amp;$D37)</f>
        <v>5</v>
      </c>
      <c r="G37">
        <f t="shared" si="2"/>
        <v>0.16666666666666666</v>
      </c>
      <c r="H37">
        <f>COUNTIFS('מועמדים 2026'!$A:$A,$C37)</f>
        <v>18</v>
      </c>
      <c r="I37" t="str">
        <f t="shared" si="1"/>
        <v/>
      </c>
    </row>
    <row r="38" spans="1:9">
      <c r="A38" t="s">
        <v>25</v>
      </c>
      <c r="B38" t="str">
        <f>INDEX('סקרים לפי ערוץ'!$B:$B,MATCH($A38,'סקרים לפי ערוץ'!$A:$A,0))</f>
        <v>2026-10-16</v>
      </c>
      <c r="C38" t="s">
        <v>18</v>
      </c>
      <c r="D38">
        <f>INDEX('סקרים לפי ערוץ'!M:M,MATCH($A38,'סקרים לפי ערוץ'!$A:$A,0))</f>
        <v>6</v>
      </c>
      <c r="E38">
        <f>COUNTIFS('מועמדים 2026'!$A:$A,$C38,'מועמדים 2026'!$D:$D,"נ",'מועמדים 2026'!$B:$B,"&lt;="&amp;$D38)</f>
        <v>1</v>
      </c>
      <c r="F38">
        <f>COUNTIFS('מועמדים 2026'!$A:$A,$C38,'מועמדים 2026'!$D:$D,"ז",'מועמדים 2026'!$B:$B,"&lt;="&amp;$D38)</f>
        <v>5</v>
      </c>
      <c r="G38">
        <f t="shared" si="2"/>
        <v>0.16666666666666666</v>
      </c>
      <c r="H38">
        <f>COUNTIFS('מועמדים 2026'!$A:$A,$C38)</f>
        <v>6</v>
      </c>
      <c r="I38" t="str">
        <f t="shared" si="1"/>
        <v/>
      </c>
    </row>
    <row r="39" spans="1:9">
      <c r="A39" t="s">
        <v>25</v>
      </c>
      <c r="B39" t="str">
        <f>INDEX('סקרים לפי ערוץ'!$B:$B,MATCH($A39,'סקרים לפי ערוץ'!$A:$A,0))</f>
        <v>2026-10-16</v>
      </c>
      <c r="C39" t="s">
        <v>19</v>
      </c>
      <c r="D39">
        <f>INDEX('סקרים לפי ערוץ'!N:N,MATCH($A39,'סקרים לפי ערוץ'!$A:$A,0))</f>
        <v>8</v>
      </c>
      <c r="E39">
        <f>COUNTIFS('מועמדים 2026'!$A:$A,$C39,'מועמדים 2026'!$D:$D,"נ",'מועמדים 2026'!$B:$B,"&lt;="&amp;$D39)</f>
        <v>2</v>
      </c>
      <c r="F39">
        <f>COUNTIFS('מועמדים 2026'!$A:$A,$C39,'מועמדים 2026'!$D:$D,"ז",'מועמדים 2026'!$B:$B,"&lt;="&amp;$D39)</f>
        <v>6</v>
      </c>
      <c r="G39">
        <f t="shared" si="2"/>
        <v>0.25</v>
      </c>
      <c r="H39">
        <f>COUNTIFS('מועמדים 2026'!$A:$A,$C39)</f>
        <v>17</v>
      </c>
      <c r="I39" t="str">
        <f t="shared" si="1"/>
        <v/>
      </c>
    </row>
    <row r="40" spans="1:9">
      <c r="A40" t="s">
        <v>25</v>
      </c>
      <c r="B40" t="str">
        <f>INDEX('סקרים לפי ערוץ'!$B:$B,MATCH($A40,'סקרים לפי ערוץ'!$A:$A,0))</f>
        <v>2026-10-16</v>
      </c>
      <c r="C40" t="s">
        <v>20</v>
      </c>
      <c r="D40">
        <f>INDEX('סקרים לפי ערוץ'!O:O,MATCH($A40,'סקרים לפי ערוץ'!$A:$A,0))</f>
        <v>13</v>
      </c>
      <c r="E40">
        <f>COUNTIFS('מועמדים 2026'!$A:$A,$C40,'מועמדים 2026'!$D:$D,"נ",'מועמדים 2026'!$B:$B,"&lt;="&amp;$D40)</f>
        <v>6</v>
      </c>
      <c r="F40">
        <f>COUNTIFS('מועמדים 2026'!$A:$A,$C40,'מועמדים 2026'!$D:$D,"ז",'מועמדים 2026'!$B:$B,"&lt;="&amp;$D40)</f>
        <v>7</v>
      </c>
      <c r="G40">
        <f t="shared" si="2"/>
        <v>0.46153846153846156</v>
      </c>
      <c r="H40">
        <f>COUNTIFS('מועמדים 2026'!$A:$A,$C40)</f>
        <v>26</v>
      </c>
      <c r="I40" t="str">
        <f t="shared" si="1"/>
        <v/>
      </c>
    </row>
    <row r="41" spans="1:9">
      <c r="A41" t="s">
        <v>25</v>
      </c>
      <c r="B41" t="str">
        <f>INDEX('סקרים לפי ערוץ'!$B:$B,MATCH($A41,'סקרים לפי ערוץ'!$A:$A,0))</f>
        <v>2026-10-16</v>
      </c>
      <c r="C41" t="s">
        <v>21</v>
      </c>
      <c r="D41">
        <f>INDEX('סקרים לפי ערוץ'!P:P,MATCH($A41,'סקרים לפי ערוץ'!$A:$A,0))</f>
        <v>21</v>
      </c>
      <c r="E41">
        <f>COUNTIFS('מועמדים 2026'!$A:$A,$C41,'מועמדים 2026'!$D:$D,"נ",'מועמדים 2026'!$B:$B,"&lt;="&amp;$D41)</f>
        <v>11</v>
      </c>
      <c r="F41">
        <f>COUNTIFS('מועמדים 2026'!$A:$A,$C41,'מועמדים 2026'!$D:$D,"ז",'מועמדים 2026'!$B:$B,"&lt;="&amp;$D41)</f>
        <v>10</v>
      </c>
      <c r="G41">
        <f t="shared" si="2"/>
        <v>0.52380952380952384</v>
      </c>
      <c r="H41">
        <f>COUNTIFS('מועמדים 2026'!$A:$A,$C41)</f>
        <v>40</v>
      </c>
      <c r="I41" t="str">
        <f t="shared" si="1"/>
        <v/>
      </c>
    </row>
    <row r="42" spans="1:9">
      <c r="A42" t="s">
        <v>25</v>
      </c>
      <c r="B42" t="str">
        <f>INDEX('סקרים לפי ערוץ'!$B:$B,MATCH($A42,'סקרים לפי ערוץ'!$A:$A,0))</f>
        <v>2026-10-16</v>
      </c>
      <c r="C42" t="s">
        <v>22</v>
      </c>
      <c r="D42">
        <f>INDEX('סקרים לפי ערוץ'!Q:Q,MATCH($A42,'סקרים לפי ערוץ'!$A:$A,0))</f>
        <v>4</v>
      </c>
      <c r="E42">
        <f>COUNTIFS('מועמדים 2026'!$A:$A,$C42,'מועמדים 2026'!$D:$D,"נ",'מועמדים 2026'!$B:$B,"&lt;="&amp;$D42)</f>
        <v>1</v>
      </c>
      <c r="F42">
        <f>COUNTIFS('מועמדים 2026'!$A:$A,$C42,'מועמדים 2026'!$D:$D,"ז",'מועמדים 2026'!$B:$B,"&lt;="&amp;$D42)</f>
        <v>3</v>
      </c>
      <c r="G42">
        <f t="shared" si="2"/>
        <v>0.25</v>
      </c>
      <c r="H42">
        <f>COUNTIFS('מועמדים 2026'!$A:$A,$C42)</f>
        <v>11</v>
      </c>
      <c r="I42" t="str">
        <f t="shared" si="1"/>
        <v/>
      </c>
    </row>
    <row r="43" spans="1:9">
      <c r="A43" t="s">
        <v>25</v>
      </c>
      <c r="B43" t="str">
        <f>INDEX('סקרים לפי ערוץ'!$B:$B,MATCH($A43,'סקרים לפי ערוץ'!$A:$A,0))</f>
        <v>2026-10-16</v>
      </c>
      <c r="C43" t="s">
        <v>23</v>
      </c>
      <c r="D43">
        <f>INDEX('סקרים לפי ערוץ'!R:R,MATCH($A43,'סקרים לפי ערוץ'!$A:$A,0))</f>
        <v>4</v>
      </c>
      <c r="E43">
        <f>COUNTIFS('מועמדים 2026'!$A:$A,$C43,'מועמדים 2026'!$D:$D,"נ",'מועמדים 2026'!$B:$B,"&lt;="&amp;$D43)</f>
        <v>1</v>
      </c>
      <c r="F43">
        <f>COUNTIFS('מועמדים 2026'!$A:$A,$C43,'מועמדים 2026'!$D:$D,"ז",'מועמדים 2026'!$B:$B,"&lt;="&amp;$D43)</f>
        <v>3</v>
      </c>
      <c r="G43">
        <f t="shared" si="2"/>
        <v>0.25</v>
      </c>
      <c r="H43">
        <f>COUNTIFS('מועמדים 2026'!$A:$A,$C43)</f>
        <v>20</v>
      </c>
      <c r="I43" t="str">
        <f t="shared" si="1"/>
        <v/>
      </c>
    </row>
    <row r="44" spans="1:9">
      <c r="A44" t="s">
        <v>26</v>
      </c>
      <c r="B44" t="str">
        <f>INDEX('סקרים לפי ערוץ'!$B:$B,MATCH($A44,'סקרים לפי ערוץ'!$A:$A,0))</f>
        <v>2026-10-15</v>
      </c>
      <c r="C44" t="s">
        <v>10</v>
      </c>
      <c r="D44">
        <f>INDEX('סקרים לפי ערוץ'!E:E,MATCH($A44,'סקרים לפי ערוץ'!$A:$A,0))</f>
        <v>21</v>
      </c>
      <c r="E44">
        <f>COUNTIFS('מועמדים 2026'!$A:$A,$C44,'מועמדים 2026'!$D:$D,"נ",'מועמדים 2026'!$B:$B,"&lt;="&amp;$D44)</f>
        <v>3</v>
      </c>
      <c r="F44">
        <f>COUNTIFS('מועמדים 2026'!$A:$A,$C44,'מועמדים 2026'!$D:$D,"ז",'מועמדים 2026'!$B:$B,"&lt;="&amp;$D44)</f>
        <v>18</v>
      </c>
      <c r="G44">
        <f t="shared" si="2"/>
        <v>0.14285714285714285</v>
      </c>
      <c r="H44">
        <f>COUNTIFS('מועמדים 2026'!$A:$A,$C44)</f>
        <v>36</v>
      </c>
      <c r="I44" t="str">
        <f t="shared" si="1"/>
        <v/>
      </c>
    </row>
    <row r="45" spans="1:9">
      <c r="A45" t="s">
        <v>26</v>
      </c>
      <c r="B45" t="str">
        <f>INDEX('סקרים לפי ערוץ'!$B:$B,MATCH($A45,'סקרים לפי ערוץ'!$A:$A,0))</f>
        <v>2026-10-15</v>
      </c>
      <c r="C45" t="s">
        <v>11</v>
      </c>
      <c r="D45">
        <f>INDEX('סקרים לפי ערוץ'!F:F,MATCH($A45,'סקרים לפי ערוץ'!$A:$A,0))</f>
        <v>7</v>
      </c>
      <c r="E45">
        <f>COUNTIFS('מועמדים 2026'!$A:$A,$C45,'מועמדים 2026'!$D:$D,"נ",'מועמדים 2026'!$B:$B,"&lt;="&amp;$D45)</f>
        <v>0</v>
      </c>
      <c r="F45">
        <f>COUNTIFS('מועמדים 2026'!$A:$A,$C45,'מועמדים 2026'!$D:$D,"ז",'מועמדים 2026'!$B:$B,"&lt;="&amp;$D45)</f>
        <v>7</v>
      </c>
      <c r="G45">
        <f t="shared" si="2"/>
        <v>0</v>
      </c>
      <c r="H45">
        <f>COUNTIFS('מועמדים 2026'!$A:$A,$C45)</f>
        <v>9</v>
      </c>
      <c r="I45" t="str">
        <f t="shared" si="1"/>
        <v/>
      </c>
    </row>
    <row r="46" spans="1:9">
      <c r="A46" t="s">
        <v>26</v>
      </c>
      <c r="B46" t="str">
        <f>INDEX('סקרים לפי ערוץ'!$B:$B,MATCH($A46,'סקרים לפי ערוץ'!$A:$A,0))</f>
        <v>2026-10-15</v>
      </c>
      <c r="C46" t="s">
        <v>12</v>
      </c>
      <c r="D46">
        <f>INDEX('סקרים לפי ערוץ'!G:G,MATCH($A46,'סקרים לפי ערוץ'!$A:$A,0))</f>
        <v>7</v>
      </c>
      <c r="E46">
        <f>COUNTIFS('מועמדים 2026'!$A:$A,$C46,'מועמדים 2026'!$D:$D,"נ",'מועמדים 2026'!$B:$B,"&lt;="&amp;$D46)</f>
        <v>0</v>
      </c>
      <c r="F46">
        <f>COUNTIFS('מועמדים 2026'!$A:$A,$C46,'מועמדים 2026'!$D:$D,"ז",'מועמדים 2026'!$B:$B,"&lt;="&amp;$D46)</f>
        <v>7</v>
      </c>
      <c r="G46">
        <f t="shared" si="2"/>
        <v>0</v>
      </c>
      <c r="H46">
        <f>COUNTIFS('מועמדים 2026'!$A:$A,$C46)</f>
        <v>11</v>
      </c>
      <c r="I46" t="str">
        <f t="shared" si="1"/>
        <v/>
      </c>
    </row>
    <row r="47" spans="1:9">
      <c r="A47" t="s">
        <v>26</v>
      </c>
      <c r="B47" t="str">
        <f>INDEX('סקרים לפי ערוץ'!$B:$B,MATCH($A47,'סקרים לפי ערוץ'!$A:$A,0))</f>
        <v>2026-10-15</v>
      </c>
      <c r="C47" t="s">
        <v>13</v>
      </c>
      <c r="D47">
        <f>INDEX('סקרים לפי ערוץ'!H:H,MATCH($A47,'סקרים לפי ערוץ'!$A:$A,0))</f>
        <v>0</v>
      </c>
      <c r="E47">
        <f>COUNTIFS('מועמדים 2026'!$A:$A,$C47,'מועמדים 2026'!$D:$D,"נ",'מועמדים 2026'!$B:$B,"&lt;="&amp;$D47)</f>
        <v>0</v>
      </c>
      <c r="F47">
        <f>COUNTIFS('מועמדים 2026'!$A:$A,$C47,'מועמדים 2026'!$D:$D,"ז",'מועמדים 2026'!$B:$B,"&lt;="&amp;$D47)</f>
        <v>0</v>
      </c>
      <c r="G47">
        <f t="shared" si="2"/>
        <v>0</v>
      </c>
      <c r="H47">
        <f>COUNTIFS('מועמדים 2026'!$A:$A,$C47)</f>
        <v>5</v>
      </c>
      <c r="I47" t="str">
        <f t="shared" si="1"/>
        <v/>
      </c>
    </row>
    <row r="48" spans="1:9">
      <c r="A48" t="s">
        <v>26</v>
      </c>
      <c r="B48" t="str">
        <f>INDEX('סקרים לפי ערוץ'!$B:$B,MATCH($A48,'סקרים לפי ערוץ'!$A:$A,0))</f>
        <v>2026-10-15</v>
      </c>
      <c r="C48" t="s">
        <v>14</v>
      </c>
      <c r="D48">
        <f>INDEX('סקרים לפי ערוץ'!I:I,MATCH($A48,'סקרים לפי ערוץ'!$A:$A,0))</f>
        <v>9</v>
      </c>
      <c r="E48">
        <f>COUNTIFS('מועמדים 2026'!$A:$A,$C48,'מועמדים 2026'!$D:$D,"נ",'מועמדים 2026'!$B:$B,"&lt;="&amp;$D48)</f>
        <v>2</v>
      </c>
      <c r="F48">
        <f>COUNTIFS('מועמדים 2026'!$A:$A,$C48,'מועמדים 2026'!$D:$D,"ז",'מועמדים 2026'!$B:$B,"&lt;="&amp;$D48)</f>
        <v>7</v>
      </c>
      <c r="G48">
        <f t="shared" si="2"/>
        <v>0.22222222222222221</v>
      </c>
      <c r="H48">
        <f>COUNTIFS('מועמדים 2026'!$A:$A,$C48)</f>
        <v>10</v>
      </c>
      <c r="I48" t="str">
        <f t="shared" si="1"/>
        <v/>
      </c>
    </row>
    <row r="49" spans="1:9">
      <c r="A49" t="s">
        <v>26</v>
      </c>
      <c r="B49" t="str">
        <f>INDEX('סקרים לפי ערוץ'!$B:$B,MATCH($A49,'סקרים לפי ערוץ'!$A:$A,0))</f>
        <v>2026-10-15</v>
      </c>
      <c r="C49" t="s">
        <v>15</v>
      </c>
      <c r="D49">
        <f>INDEX('סקרים לפי ערוץ'!J:J,MATCH($A49,'סקרים לפי ערוץ'!$A:$A,0))</f>
        <v>8</v>
      </c>
      <c r="E49">
        <f>COUNTIFS('מועמדים 2026'!$A:$A,$C49,'מועמדים 2026'!$D:$D,"נ",'מועמדים 2026'!$B:$B,"&lt;="&amp;$D49)</f>
        <v>2</v>
      </c>
      <c r="F49">
        <f>COUNTIFS('מועמדים 2026'!$A:$A,$C49,'מועמדים 2026'!$D:$D,"ז",'מועמדים 2026'!$B:$B,"&lt;="&amp;$D49)</f>
        <v>6</v>
      </c>
      <c r="G49">
        <f t="shared" si="2"/>
        <v>0.25</v>
      </c>
      <c r="H49">
        <f>COUNTIFS('מועמדים 2026'!$A:$A,$C49)</f>
        <v>20</v>
      </c>
      <c r="I49" t="str">
        <f t="shared" si="1"/>
        <v/>
      </c>
    </row>
    <row r="50" spans="1:9">
      <c r="A50" t="s">
        <v>26</v>
      </c>
      <c r="B50" t="str">
        <f>INDEX('סקרים לפי ערוץ'!$B:$B,MATCH($A50,'סקרים לפי ערוץ'!$A:$A,0))</f>
        <v>2026-10-15</v>
      </c>
      <c r="C50" t="s">
        <v>16</v>
      </c>
      <c r="D50">
        <f>INDEX('סקרים לפי ערוץ'!K:K,MATCH($A50,'סקרים לפי ערוץ'!$A:$A,0))</f>
        <v>8</v>
      </c>
      <c r="E50">
        <f>COUNTIFS('מועמדים 2026'!$A:$A,$C50,'מועמדים 2026'!$D:$D,"נ",'מועמדים 2026'!$B:$B,"&lt;="&amp;$D50)</f>
        <v>4</v>
      </c>
      <c r="F50">
        <f>COUNTIFS('מועמדים 2026'!$A:$A,$C50,'מועמדים 2026'!$D:$D,"ז",'מועמדים 2026'!$B:$B,"&lt;="&amp;$D50)</f>
        <v>4</v>
      </c>
      <c r="G50">
        <f t="shared" si="2"/>
        <v>0.5</v>
      </c>
      <c r="H50">
        <f>COUNTIFS('מועמדים 2026'!$A:$A,$C50)</f>
        <v>20</v>
      </c>
      <c r="I50" t="str">
        <f t="shared" si="1"/>
        <v/>
      </c>
    </row>
    <row r="51" spans="1:9">
      <c r="A51" t="s">
        <v>26</v>
      </c>
      <c r="B51" t="str">
        <f>INDEX('סקרים לפי ערוץ'!$B:$B,MATCH($A51,'סקרים לפי ערוץ'!$A:$A,0))</f>
        <v>2026-10-15</v>
      </c>
      <c r="C51" t="s">
        <v>17</v>
      </c>
      <c r="D51">
        <f>INDEX('סקרים לפי ערוץ'!L:L,MATCH($A51,'סקרים לפי ערוץ'!$A:$A,0))</f>
        <v>6</v>
      </c>
      <c r="E51">
        <f>COUNTIFS('מועמדים 2026'!$A:$A,$C51,'מועמדים 2026'!$D:$D,"נ",'מועמדים 2026'!$B:$B,"&lt;="&amp;$D51)</f>
        <v>1</v>
      </c>
      <c r="F51">
        <f>COUNTIFS('מועמדים 2026'!$A:$A,$C51,'מועמדים 2026'!$D:$D,"ז",'מועמדים 2026'!$B:$B,"&lt;="&amp;$D51)</f>
        <v>5</v>
      </c>
      <c r="G51">
        <f t="shared" si="2"/>
        <v>0.16666666666666666</v>
      </c>
      <c r="H51">
        <f>COUNTIFS('מועמדים 2026'!$A:$A,$C51)</f>
        <v>18</v>
      </c>
      <c r="I51" t="str">
        <f t="shared" si="1"/>
        <v/>
      </c>
    </row>
    <row r="52" spans="1:9">
      <c r="A52" t="s">
        <v>26</v>
      </c>
      <c r="B52" t="str">
        <f>INDEX('סקרים לפי ערוץ'!$B:$B,MATCH($A52,'סקרים לפי ערוץ'!$A:$A,0))</f>
        <v>2026-10-15</v>
      </c>
      <c r="C52" t="s">
        <v>18</v>
      </c>
      <c r="D52">
        <f>INDEX('סקרים לפי ערוץ'!M:M,MATCH($A52,'סקרים לפי ערוץ'!$A:$A,0))</f>
        <v>5</v>
      </c>
      <c r="E52">
        <f>COUNTIFS('מועמדים 2026'!$A:$A,$C52,'מועמדים 2026'!$D:$D,"נ",'מועמדים 2026'!$B:$B,"&lt;="&amp;$D52)</f>
        <v>1</v>
      </c>
      <c r="F52">
        <f>COUNTIFS('מועמדים 2026'!$A:$A,$C52,'מועמדים 2026'!$D:$D,"ז",'מועמדים 2026'!$B:$B,"&lt;="&amp;$D52)</f>
        <v>4</v>
      </c>
      <c r="G52">
        <f t="shared" si="2"/>
        <v>0.2</v>
      </c>
      <c r="H52">
        <f>COUNTIFS('מועמדים 2026'!$A:$A,$C52)</f>
        <v>6</v>
      </c>
      <c r="I52" t="str">
        <f t="shared" si="1"/>
        <v/>
      </c>
    </row>
    <row r="53" spans="1:9">
      <c r="A53" t="s">
        <v>26</v>
      </c>
      <c r="B53" t="str">
        <f>INDEX('סקרים לפי ערוץ'!$B:$B,MATCH($A53,'סקרים לפי ערוץ'!$A:$A,0))</f>
        <v>2026-10-15</v>
      </c>
      <c r="C53" t="s">
        <v>19</v>
      </c>
      <c r="D53">
        <f>INDEX('סקרים לפי ערוץ'!N:N,MATCH($A53,'סקרים לפי ערוץ'!$A:$A,0))</f>
        <v>9</v>
      </c>
      <c r="E53">
        <f>COUNTIFS('מועמדים 2026'!$A:$A,$C53,'מועמדים 2026'!$D:$D,"נ",'מועמדים 2026'!$B:$B,"&lt;="&amp;$D53)</f>
        <v>2</v>
      </c>
      <c r="F53">
        <f>COUNTIFS('מועמדים 2026'!$A:$A,$C53,'מועמדים 2026'!$D:$D,"ז",'מועמדים 2026'!$B:$B,"&lt;="&amp;$D53)</f>
        <v>7</v>
      </c>
      <c r="G53">
        <f t="shared" si="2"/>
        <v>0.22222222222222221</v>
      </c>
      <c r="H53">
        <f>COUNTIFS('מועמדים 2026'!$A:$A,$C53)</f>
        <v>17</v>
      </c>
      <c r="I53" t="str">
        <f t="shared" si="1"/>
        <v/>
      </c>
    </row>
    <row r="54" spans="1:9">
      <c r="A54" t="s">
        <v>26</v>
      </c>
      <c r="B54" t="str">
        <f>INDEX('סקרים לפי ערוץ'!$B:$B,MATCH($A54,'סקרים לפי ערוץ'!$A:$A,0))</f>
        <v>2026-10-15</v>
      </c>
      <c r="C54" t="s">
        <v>20</v>
      </c>
      <c r="D54">
        <f>INDEX('סקרים לפי ערוץ'!O:O,MATCH($A54,'סקרים לפי ערוץ'!$A:$A,0))</f>
        <v>12</v>
      </c>
      <c r="E54">
        <f>COUNTIFS('מועמדים 2026'!$A:$A,$C54,'מועמדים 2026'!$D:$D,"נ",'מועמדים 2026'!$B:$B,"&lt;="&amp;$D54)</f>
        <v>6</v>
      </c>
      <c r="F54">
        <f>COUNTIFS('מועמדים 2026'!$A:$A,$C54,'מועמדים 2026'!$D:$D,"ז",'מועמדים 2026'!$B:$B,"&lt;="&amp;$D54)</f>
        <v>6</v>
      </c>
      <c r="G54">
        <f t="shared" si="2"/>
        <v>0.5</v>
      </c>
      <c r="H54">
        <f>COUNTIFS('מועמדים 2026'!$A:$A,$C54)</f>
        <v>26</v>
      </c>
      <c r="I54" t="str">
        <f t="shared" si="1"/>
        <v/>
      </c>
    </row>
    <row r="55" spans="1:9">
      <c r="A55" t="s">
        <v>26</v>
      </c>
      <c r="B55" t="str">
        <f>INDEX('סקרים לפי ערוץ'!$B:$B,MATCH($A55,'סקרים לפי ערוץ'!$A:$A,0))</f>
        <v>2026-10-15</v>
      </c>
      <c r="C55" t="s">
        <v>21</v>
      </c>
      <c r="D55">
        <f>INDEX('סקרים לפי ערוץ'!P:P,MATCH($A55,'סקרים לפי ערוץ'!$A:$A,0))</f>
        <v>24</v>
      </c>
      <c r="E55">
        <f>COUNTIFS('מועמדים 2026'!$A:$A,$C55,'מועמדים 2026'!$D:$D,"נ",'מועמדים 2026'!$B:$B,"&lt;="&amp;$D55)</f>
        <v>12</v>
      </c>
      <c r="F55">
        <f>COUNTIFS('מועמדים 2026'!$A:$A,$C55,'מועמדים 2026'!$D:$D,"ז",'מועמדים 2026'!$B:$B,"&lt;="&amp;$D55)</f>
        <v>12</v>
      </c>
      <c r="G55">
        <f t="shared" si="2"/>
        <v>0.5</v>
      </c>
      <c r="H55">
        <f>COUNTIFS('מועמדים 2026'!$A:$A,$C55)</f>
        <v>40</v>
      </c>
      <c r="I55" t="str">
        <f t="shared" si="1"/>
        <v/>
      </c>
    </row>
    <row r="56" spans="1:9">
      <c r="A56" t="s">
        <v>26</v>
      </c>
      <c r="B56" t="str">
        <f>INDEX('סקרים לפי ערוץ'!$B:$B,MATCH($A56,'סקרים לפי ערוץ'!$A:$A,0))</f>
        <v>2026-10-15</v>
      </c>
      <c r="C56" t="s">
        <v>22</v>
      </c>
      <c r="D56">
        <f>INDEX('סקרים לפי ערוץ'!Q:Q,MATCH($A56,'סקרים לפי ערוץ'!$A:$A,0))</f>
        <v>0</v>
      </c>
      <c r="E56">
        <f>COUNTIFS('מועמדים 2026'!$A:$A,$C56,'מועמדים 2026'!$D:$D,"נ",'מועמדים 2026'!$B:$B,"&lt;="&amp;$D56)</f>
        <v>0</v>
      </c>
      <c r="F56">
        <f>COUNTIFS('מועמדים 2026'!$A:$A,$C56,'מועמדים 2026'!$D:$D,"ז",'מועמדים 2026'!$B:$B,"&lt;="&amp;$D56)</f>
        <v>0</v>
      </c>
      <c r="G56">
        <f t="shared" si="2"/>
        <v>0</v>
      </c>
      <c r="H56">
        <f>COUNTIFS('מועמדים 2026'!$A:$A,$C56)</f>
        <v>11</v>
      </c>
      <c r="I56" t="str">
        <f t="shared" si="1"/>
        <v/>
      </c>
    </row>
    <row r="57" spans="1:9">
      <c r="A57" t="s">
        <v>26</v>
      </c>
      <c r="B57" t="str">
        <f>INDEX('סקרים לפי ערוץ'!$B:$B,MATCH($A57,'סקרים לפי ערוץ'!$A:$A,0))</f>
        <v>2026-10-15</v>
      </c>
      <c r="C57" t="s">
        <v>23</v>
      </c>
      <c r="D57">
        <f>INDEX('סקרים לפי ערוץ'!R:R,MATCH($A57,'סקרים לפי ערוץ'!$A:$A,0))</f>
        <v>4</v>
      </c>
      <c r="E57">
        <f>COUNTIFS('מועמדים 2026'!$A:$A,$C57,'מועמדים 2026'!$D:$D,"נ",'מועמדים 2026'!$B:$B,"&lt;="&amp;$D57)</f>
        <v>1</v>
      </c>
      <c r="F57">
        <f>COUNTIFS('מועמדים 2026'!$A:$A,$C57,'מועמדים 2026'!$D:$D,"ז",'מועמדים 2026'!$B:$B,"&lt;="&amp;$D57)</f>
        <v>3</v>
      </c>
      <c r="G57">
        <f t="shared" si="2"/>
        <v>0.25</v>
      </c>
      <c r="H57">
        <f>COUNTIFS('מועמדים 2026'!$A:$A,$C57)</f>
        <v>20</v>
      </c>
      <c r="I57" t="str">
        <f t="shared" si="1"/>
        <v/>
      </c>
    </row>
    <row r="58" spans="1:9">
      <c r="A58" t="s">
        <v>27</v>
      </c>
      <c r="B58" t="str">
        <f>INDEX('סקרים לפי ערוץ'!$B:$B,MATCH($A58,'סקרים לפי ערוץ'!$A:$A,0))</f>
        <v>2026-10-15</v>
      </c>
      <c r="C58" t="s">
        <v>10</v>
      </c>
      <c r="D58">
        <f>INDEX('סקרים לפי ערוץ'!E:E,MATCH($A58,'סקרים לפי ערוץ'!$A:$A,0))</f>
        <v>20</v>
      </c>
      <c r="E58">
        <f>COUNTIFS('מועמדים 2026'!$A:$A,$C58,'מועמדים 2026'!$D:$D,"נ",'מועמדים 2026'!$B:$B,"&lt;="&amp;$D58)</f>
        <v>3</v>
      </c>
      <c r="F58">
        <f>COUNTIFS('מועמדים 2026'!$A:$A,$C58,'מועמדים 2026'!$D:$D,"ז",'מועמדים 2026'!$B:$B,"&lt;="&amp;$D58)</f>
        <v>17</v>
      </c>
      <c r="G58">
        <f t="shared" si="2"/>
        <v>0.15</v>
      </c>
      <c r="H58">
        <f>COUNTIFS('מועמדים 2026'!$A:$A,$C58)</f>
        <v>36</v>
      </c>
      <c r="I58" t="str">
        <f t="shared" si="1"/>
        <v/>
      </c>
    </row>
    <row r="59" spans="1:9">
      <c r="A59" t="s">
        <v>27</v>
      </c>
      <c r="B59" t="str">
        <f>INDEX('סקרים לפי ערוץ'!$B:$B,MATCH($A59,'סקרים לפי ערוץ'!$A:$A,0))</f>
        <v>2026-10-15</v>
      </c>
      <c r="C59" t="s">
        <v>11</v>
      </c>
      <c r="D59">
        <f>INDEX('סקרים לפי ערוץ'!F:F,MATCH($A59,'סקרים לפי ערוץ'!$A:$A,0))</f>
        <v>8</v>
      </c>
      <c r="E59">
        <f>COUNTIFS('מועמדים 2026'!$A:$A,$C59,'מועמדים 2026'!$D:$D,"נ",'מועמדים 2026'!$B:$B,"&lt;="&amp;$D59)</f>
        <v>0</v>
      </c>
      <c r="F59">
        <f>COUNTIFS('מועמדים 2026'!$A:$A,$C59,'מועמדים 2026'!$D:$D,"ז",'מועמדים 2026'!$B:$B,"&lt;="&amp;$D59)</f>
        <v>8</v>
      </c>
      <c r="G59">
        <f t="shared" si="2"/>
        <v>0</v>
      </c>
      <c r="H59">
        <f>COUNTIFS('מועמדים 2026'!$A:$A,$C59)</f>
        <v>9</v>
      </c>
      <c r="I59" t="str">
        <f t="shared" si="1"/>
        <v/>
      </c>
    </row>
    <row r="60" spans="1:9">
      <c r="A60" t="s">
        <v>27</v>
      </c>
      <c r="B60" t="str">
        <f>INDEX('סקרים לפי ערוץ'!$B:$B,MATCH($A60,'סקרים לפי ערוץ'!$A:$A,0))</f>
        <v>2026-10-15</v>
      </c>
      <c r="C60" t="s">
        <v>12</v>
      </c>
      <c r="D60">
        <f>INDEX('סקרים לפי ערוץ'!G:G,MATCH($A60,'סקרים לפי ערוץ'!$A:$A,0))</f>
        <v>8</v>
      </c>
      <c r="E60">
        <f>COUNTIFS('מועמדים 2026'!$A:$A,$C60,'מועמדים 2026'!$D:$D,"נ",'מועמדים 2026'!$B:$B,"&lt;="&amp;$D60)</f>
        <v>0</v>
      </c>
      <c r="F60">
        <f>COUNTIFS('מועמדים 2026'!$A:$A,$C60,'מועמדים 2026'!$D:$D,"ז",'מועמדים 2026'!$B:$B,"&lt;="&amp;$D60)</f>
        <v>8</v>
      </c>
      <c r="G60">
        <f t="shared" si="2"/>
        <v>0</v>
      </c>
      <c r="H60">
        <f>COUNTIFS('מועמדים 2026'!$A:$A,$C60)</f>
        <v>11</v>
      </c>
      <c r="I60" t="str">
        <f t="shared" si="1"/>
        <v/>
      </c>
    </row>
    <row r="61" spans="1:9">
      <c r="A61" t="s">
        <v>27</v>
      </c>
      <c r="B61" t="str">
        <f>INDEX('סקרים לפי ערוץ'!$B:$B,MATCH($A61,'סקרים לפי ערוץ'!$A:$A,0))</f>
        <v>2026-10-15</v>
      </c>
      <c r="C61" t="s">
        <v>13</v>
      </c>
      <c r="D61">
        <f>INDEX('סקרים לפי ערוץ'!H:H,MATCH($A61,'סקרים לפי ערוץ'!$A:$A,0))</f>
        <v>0</v>
      </c>
      <c r="E61">
        <f>COUNTIFS('מועמדים 2026'!$A:$A,$C61,'מועמדים 2026'!$D:$D,"נ",'מועמדים 2026'!$B:$B,"&lt;="&amp;$D61)</f>
        <v>0</v>
      </c>
      <c r="F61">
        <f>COUNTIFS('מועמדים 2026'!$A:$A,$C61,'מועמדים 2026'!$D:$D,"ז",'מועמדים 2026'!$B:$B,"&lt;="&amp;$D61)</f>
        <v>0</v>
      </c>
      <c r="G61">
        <f t="shared" si="2"/>
        <v>0</v>
      </c>
      <c r="H61">
        <f>COUNTIFS('מועמדים 2026'!$A:$A,$C61)</f>
        <v>5</v>
      </c>
      <c r="I61" t="str">
        <f t="shared" si="1"/>
        <v/>
      </c>
    </row>
    <row r="62" spans="1:9">
      <c r="A62" t="s">
        <v>27</v>
      </c>
      <c r="B62" t="str">
        <f>INDEX('סקרים לפי ערוץ'!$B:$B,MATCH($A62,'סקרים לפי ערוץ'!$A:$A,0))</f>
        <v>2026-10-15</v>
      </c>
      <c r="C62" t="s">
        <v>14</v>
      </c>
      <c r="D62">
        <f>INDEX('סקרים לפי ערוץ'!I:I,MATCH($A62,'סקרים לפי ערוץ'!$A:$A,0))</f>
        <v>8</v>
      </c>
      <c r="E62">
        <f>COUNTIFS('מועמדים 2026'!$A:$A,$C62,'מועמדים 2026'!$D:$D,"נ",'מועמדים 2026'!$B:$B,"&lt;="&amp;$D62)</f>
        <v>1</v>
      </c>
      <c r="F62">
        <f>COUNTIFS('מועמדים 2026'!$A:$A,$C62,'מועמדים 2026'!$D:$D,"ז",'מועמדים 2026'!$B:$B,"&lt;="&amp;$D62)</f>
        <v>7</v>
      </c>
      <c r="G62">
        <f t="shared" si="2"/>
        <v>0.125</v>
      </c>
      <c r="H62">
        <f>COUNTIFS('מועמדים 2026'!$A:$A,$C62)</f>
        <v>10</v>
      </c>
      <c r="I62" t="str">
        <f t="shared" si="1"/>
        <v/>
      </c>
    </row>
    <row r="63" spans="1:9">
      <c r="A63" t="s">
        <v>27</v>
      </c>
      <c r="B63" t="str">
        <f>INDEX('סקרים לפי ערוץ'!$B:$B,MATCH($A63,'סקרים לפי ערוץ'!$A:$A,0))</f>
        <v>2026-10-15</v>
      </c>
      <c r="C63" t="s">
        <v>15</v>
      </c>
      <c r="D63">
        <f>INDEX('סקרים לפי ערוץ'!J:J,MATCH($A63,'סקרים לפי ערוץ'!$A:$A,0))</f>
        <v>9</v>
      </c>
      <c r="E63">
        <f>COUNTIFS('מועמדים 2026'!$A:$A,$C63,'מועמדים 2026'!$D:$D,"נ",'מועמדים 2026'!$B:$B,"&lt;="&amp;$D63)</f>
        <v>3</v>
      </c>
      <c r="F63">
        <f>COUNTIFS('מועמדים 2026'!$A:$A,$C63,'מועמדים 2026'!$D:$D,"ז",'מועמדים 2026'!$B:$B,"&lt;="&amp;$D63)</f>
        <v>6</v>
      </c>
      <c r="G63">
        <f t="shared" si="2"/>
        <v>0.33333333333333331</v>
      </c>
      <c r="H63">
        <f>COUNTIFS('מועמדים 2026'!$A:$A,$C63)</f>
        <v>20</v>
      </c>
      <c r="I63" t="str">
        <f t="shared" si="1"/>
        <v/>
      </c>
    </row>
    <row r="64" spans="1:9">
      <c r="A64" t="s">
        <v>27</v>
      </c>
      <c r="B64" t="str">
        <f>INDEX('סקרים לפי ערוץ'!$B:$B,MATCH($A64,'סקרים לפי ערוץ'!$A:$A,0))</f>
        <v>2026-10-15</v>
      </c>
      <c r="C64" t="s">
        <v>16</v>
      </c>
      <c r="D64">
        <f>INDEX('סקרים לפי ערוץ'!K:K,MATCH($A64,'סקרים לפי ערוץ'!$A:$A,0))</f>
        <v>8</v>
      </c>
      <c r="E64">
        <f>COUNTIFS('מועמדים 2026'!$A:$A,$C64,'מועמדים 2026'!$D:$D,"נ",'מועמדים 2026'!$B:$B,"&lt;="&amp;$D64)</f>
        <v>4</v>
      </c>
      <c r="F64">
        <f>COUNTIFS('מועמדים 2026'!$A:$A,$C64,'מועמדים 2026'!$D:$D,"ז",'מועמדים 2026'!$B:$B,"&lt;="&amp;$D64)</f>
        <v>4</v>
      </c>
      <c r="G64">
        <f t="shared" si="2"/>
        <v>0.5</v>
      </c>
      <c r="H64">
        <f>COUNTIFS('מועמדים 2026'!$A:$A,$C64)</f>
        <v>20</v>
      </c>
      <c r="I64" t="str">
        <f t="shared" si="1"/>
        <v/>
      </c>
    </row>
    <row r="65" spans="1:9">
      <c r="A65" t="s">
        <v>27</v>
      </c>
      <c r="B65" t="str">
        <f>INDEX('סקרים לפי ערוץ'!$B:$B,MATCH($A65,'סקרים לפי ערוץ'!$A:$A,0))</f>
        <v>2026-10-15</v>
      </c>
      <c r="C65" t="s">
        <v>17</v>
      </c>
      <c r="D65">
        <f>INDEX('סקרים לפי ערוץ'!L:L,MATCH($A65,'סקרים לפי ערוץ'!$A:$A,0))</f>
        <v>6</v>
      </c>
      <c r="E65">
        <f>COUNTIFS('מועמדים 2026'!$A:$A,$C65,'מועמדים 2026'!$D:$D,"נ",'מועמדים 2026'!$B:$B,"&lt;="&amp;$D65)</f>
        <v>1</v>
      </c>
      <c r="F65">
        <f>COUNTIFS('מועמדים 2026'!$A:$A,$C65,'מועמדים 2026'!$D:$D,"ז",'מועמדים 2026'!$B:$B,"&lt;="&amp;$D65)</f>
        <v>5</v>
      </c>
      <c r="G65">
        <f t="shared" si="2"/>
        <v>0.16666666666666666</v>
      </c>
      <c r="H65">
        <f>COUNTIFS('מועמדים 2026'!$A:$A,$C65)</f>
        <v>18</v>
      </c>
      <c r="I65" t="str">
        <f t="shared" si="1"/>
        <v/>
      </c>
    </row>
    <row r="66" spans="1:9">
      <c r="A66" t="s">
        <v>27</v>
      </c>
      <c r="B66" t="str">
        <f>INDEX('סקרים לפי ערוץ'!$B:$B,MATCH($A66,'סקרים לפי ערוץ'!$A:$A,0))</f>
        <v>2026-10-15</v>
      </c>
      <c r="C66" t="s">
        <v>18</v>
      </c>
      <c r="D66">
        <f>INDEX('סקרים לפי ערוץ'!M:M,MATCH($A66,'סקרים לפי ערוץ'!$A:$A,0))</f>
        <v>5</v>
      </c>
      <c r="E66">
        <f>COUNTIFS('מועמדים 2026'!$A:$A,$C66,'מועמדים 2026'!$D:$D,"נ",'מועמדים 2026'!$B:$B,"&lt;="&amp;$D66)</f>
        <v>1</v>
      </c>
      <c r="F66">
        <f>COUNTIFS('מועמדים 2026'!$A:$A,$C66,'מועמדים 2026'!$D:$D,"ז",'מועמדים 2026'!$B:$B,"&lt;="&amp;$D66)</f>
        <v>4</v>
      </c>
      <c r="G66">
        <f t="shared" ref="G66:G97" si="3">IF($D66=0,0,$E66/$D66)</f>
        <v>0.2</v>
      </c>
      <c r="H66">
        <f>COUNTIFS('מועמדים 2026'!$A:$A,$C66)</f>
        <v>6</v>
      </c>
      <c r="I66" t="str">
        <f t="shared" si="1"/>
        <v/>
      </c>
    </row>
    <row r="67" spans="1:9">
      <c r="A67" t="s">
        <v>27</v>
      </c>
      <c r="B67" t="str">
        <f>INDEX('סקרים לפי ערוץ'!$B:$B,MATCH($A67,'סקרים לפי ערוץ'!$A:$A,0))</f>
        <v>2026-10-15</v>
      </c>
      <c r="C67" t="s">
        <v>19</v>
      </c>
      <c r="D67">
        <f>INDEX('סקרים לפי ערוץ'!N:N,MATCH($A67,'סקרים לפי ערוץ'!$A:$A,0))</f>
        <v>7</v>
      </c>
      <c r="E67">
        <f>COUNTIFS('מועמדים 2026'!$A:$A,$C67,'מועמדים 2026'!$D:$D,"נ",'מועמדים 2026'!$B:$B,"&lt;="&amp;$D67)</f>
        <v>2</v>
      </c>
      <c r="F67">
        <f>COUNTIFS('מועמדים 2026'!$A:$A,$C67,'מועמדים 2026'!$D:$D,"ז",'מועמדים 2026'!$B:$B,"&lt;="&amp;$D67)</f>
        <v>5</v>
      </c>
      <c r="G67">
        <f t="shared" si="3"/>
        <v>0.2857142857142857</v>
      </c>
      <c r="H67">
        <f>COUNTIFS('מועמדים 2026'!$A:$A,$C67)</f>
        <v>17</v>
      </c>
      <c r="I67" t="str">
        <f t="shared" ref="I67:I130" si="4">IF(AND($D67&gt;0,$H67=0),"אין נתוני מועמדים לחישוב",IF(D67&gt;H67,"חסרים מועמדים ברשימה",""))</f>
        <v/>
      </c>
    </row>
    <row r="68" spans="1:9">
      <c r="A68" t="s">
        <v>27</v>
      </c>
      <c r="B68" t="str">
        <f>INDEX('סקרים לפי ערוץ'!$B:$B,MATCH($A68,'סקרים לפי ערוץ'!$A:$A,0))</f>
        <v>2026-10-15</v>
      </c>
      <c r="C68" t="s">
        <v>20</v>
      </c>
      <c r="D68">
        <f>INDEX('סקרים לפי ערוץ'!O:O,MATCH($A68,'סקרים לפי ערוץ'!$A:$A,0))</f>
        <v>11</v>
      </c>
      <c r="E68">
        <f>COUNTIFS('מועמדים 2026'!$A:$A,$C68,'מועמדים 2026'!$D:$D,"נ",'מועמדים 2026'!$B:$B,"&lt;="&amp;$D68)</f>
        <v>6</v>
      </c>
      <c r="F68">
        <f>COUNTIFS('מועמדים 2026'!$A:$A,$C68,'מועמדים 2026'!$D:$D,"ז",'מועמדים 2026'!$B:$B,"&lt;="&amp;$D68)</f>
        <v>5</v>
      </c>
      <c r="G68">
        <f t="shared" si="3"/>
        <v>0.54545454545454541</v>
      </c>
      <c r="H68">
        <f>COUNTIFS('מועמדים 2026'!$A:$A,$C68)</f>
        <v>26</v>
      </c>
      <c r="I68" t="str">
        <f t="shared" si="4"/>
        <v/>
      </c>
    </row>
    <row r="69" spans="1:9">
      <c r="A69" t="s">
        <v>27</v>
      </c>
      <c r="B69" t="str">
        <f>INDEX('סקרים לפי ערוץ'!$B:$B,MATCH($A69,'סקרים לפי ערוץ'!$A:$A,0))</f>
        <v>2026-10-15</v>
      </c>
      <c r="C69" t="s">
        <v>21</v>
      </c>
      <c r="D69">
        <f>INDEX('סקרים לפי ערוץ'!P:P,MATCH($A69,'סקרים לפי ערוץ'!$A:$A,0))</f>
        <v>26</v>
      </c>
      <c r="E69">
        <f>COUNTIFS('מועמדים 2026'!$A:$A,$C69,'מועמדים 2026'!$D:$D,"נ",'מועמדים 2026'!$B:$B,"&lt;="&amp;$D69)</f>
        <v>13</v>
      </c>
      <c r="F69">
        <f>COUNTIFS('מועמדים 2026'!$A:$A,$C69,'מועמדים 2026'!$D:$D,"ז",'מועמדים 2026'!$B:$B,"&lt;="&amp;$D69)</f>
        <v>13</v>
      </c>
      <c r="G69">
        <f t="shared" si="3"/>
        <v>0.5</v>
      </c>
      <c r="H69">
        <f>COUNTIFS('מועמדים 2026'!$A:$A,$C69)</f>
        <v>40</v>
      </c>
      <c r="I69" t="str">
        <f t="shared" si="4"/>
        <v/>
      </c>
    </row>
    <row r="70" spans="1:9">
      <c r="A70" t="s">
        <v>27</v>
      </c>
      <c r="B70" t="str">
        <f>INDEX('סקרים לפי ערוץ'!$B:$B,MATCH($A70,'סקרים לפי ערוץ'!$A:$A,0))</f>
        <v>2026-10-15</v>
      </c>
      <c r="C70" t="s">
        <v>22</v>
      </c>
      <c r="D70">
        <f>INDEX('סקרים לפי ערוץ'!Q:Q,MATCH($A70,'סקרים לפי ערוץ'!$A:$A,0))</f>
        <v>0</v>
      </c>
      <c r="E70">
        <f>COUNTIFS('מועמדים 2026'!$A:$A,$C70,'מועמדים 2026'!$D:$D,"נ",'מועמדים 2026'!$B:$B,"&lt;="&amp;$D70)</f>
        <v>0</v>
      </c>
      <c r="F70">
        <f>COUNTIFS('מועמדים 2026'!$A:$A,$C70,'מועמדים 2026'!$D:$D,"ז",'מועמדים 2026'!$B:$B,"&lt;="&amp;$D70)</f>
        <v>0</v>
      </c>
      <c r="G70">
        <f t="shared" si="3"/>
        <v>0</v>
      </c>
      <c r="H70">
        <f>COUNTIFS('מועמדים 2026'!$A:$A,$C70)</f>
        <v>11</v>
      </c>
      <c r="I70" t="str">
        <f t="shared" si="4"/>
        <v/>
      </c>
    </row>
    <row r="71" spans="1:9">
      <c r="A71" t="s">
        <v>27</v>
      </c>
      <c r="B71" t="str">
        <f>INDEX('סקרים לפי ערוץ'!$B:$B,MATCH($A71,'סקרים לפי ערוץ'!$A:$A,0))</f>
        <v>2026-10-15</v>
      </c>
      <c r="C71" t="s">
        <v>23</v>
      </c>
      <c r="D71">
        <f>INDEX('סקרים לפי ערוץ'!R:R,MATCH($A71,'סקרים לפי ערוץ'!$A:$A,0))</f>
        <v>4</v>
      </c>
      <c r="E71">
        <f>COUNTIFS('מועמדים 2026'!$A:$A,$C71,'מועמדים 2026'!$D:$D,"נ",'מועמדים 2026'!$B:$B,"&lt;="&amp;$D71)</f>
        <v>1</v>
      </c>
      <c r="F71">
        <f>COUNTIFS('מועמדים 2026'!$A:$A,$C71,'מועמדים 2026'!$D:$D,"ז",'מועמדים 2026'!$B:$B,"&lt;="&amp;$D71)</f>
        <v>3</v>
      </c>
      <c r="G71">
        <f t="shared" si="3"/>
        <v>0.25</v>
      </c>
      <c r="H71">
        <f>COUNTIFS('מועמדים 2026'!$A:$A,$C71)</f>
        <v>20</v>
      </c>
      <c r="I71" t="str">
        <f t="shared" si="4"/>
        <v/>
      </c>
    </row>
    <row r="72" spans="1:9">
      <c r="A72" t="s">
        <v>28</v>
      </c>
      <c r="B72" t="str">
        <f>INDEX('סקרים לפי ערוץ'!$B:$B,MATCH($A72,'סקרים לפי ערוץ'!$A:$A,0))</f>
        <v>2026-10-14</v>
      </c>
      <c r="C72" t="s">
        <v>10</v>
      </c>
      <c r="D72">
        <f>INDEX('סקרים לפי ערוץ'!E:E,MATCH($A72,'סקרים לפי ערוץ'!$A:$A,0))</f>
        <v>18</v>
      </c>
      <c r="E72">
        <f>COUNTIFS('מועמדים 2026'!$A:$A,$C72,'מועמדים 2026'!$D:$D,"נ",'מועמדים 2026'!$B:$B,"&lt;="&amp;$D72)</f>
        <v>2</v>
      </c>
      <c r="F72">
        <f>COUNTIFS('מועמדים 2026'!$A:$A,$C72,'מועמדים 2026'!$D:$D,"ז",'מועמדים 2026'!$B:$B,"&lt;="&amp;$D72)</f>
        <v>16</v>
      </c>
      <c r="G72">
        <f t="shared" si="3"/>
        <v>0.1111111111111111</v>
      </c>
      <c r="H72">
        <f>COUNTIFS('מועמדים 2026'!$A:$A,$C72)</f>
        <v>36</v>
      </c>
      <c r="I72" t="str">
        <f t="shared" si="4"/>
        <v/>
      </c>
    </row>
    <row r="73" spans="1:9">
      <c r="A73" t="s">
        <v>28</v>
      </c>
      <c r="B73" t="str">
        <f>INDEX('סקרים לפי ערוץ'!$B:$B,MATCH($A73,'סקרים לפי ערוץ'!$A:$A,0))</f>
        <v>2026-10-14</v>
      </c>
      <c r="C73" t="s">
        <v>11</v>
      </c>
      <c r="D73">
        <f>INDEX('סקרים לפי ערוץ'!F:F,MATCH($A73,'סקרים לפי ערוץ'!$A:$A,0))</f>
        <v>8</v>
      </c>
      <c r="E73">
        <f>COUNTIFS('מועמדים 2026'!$A:$A,$C73,'מועמדים 2026'!$D:$D,"נ",'מועמדים 2026'!$B:$B,"&lt;="&amp;$D73)</f>
        <v>0</v>
      </c>
      <c r="F73">
        <f>COUNTIFS('מועמדים 2026'!$A:$A,$C73,'מועמדים 2026'!$D:$D,"ז",'מועמדים 2026'!$B:$B,"&lt;="&amp;$D73)</f>
        <v>8</v>
      </c>
      <c r="G73">
        <f t="shared" si="3"/>
        <v>0</v>
      </c>
      <c r="H73">
        <f>COUNTIFS('מועמדים 2026'!$A:$A,$C73)</f>
        <v>9</v>
      </c>
      <c r="I73" t="str">
        <f t="shared" si="4"/>
        <v/>
      </c>
    </row>
    <row r="74" spans="1:9">
      <c r="A74" t="s">
        <v>28</v>
      </c>
      <c r="B74" t="str">
        <f>INDEX('סקרים לפי ערוץ'!$B:$B,MATCH($A74,'סקרים לפי ערוץ'!$A:$A,0))</f>
        <v>2026-10-14</v>
      </c>
      <c r="C74" t="s">
        <v>12</v>
      </c>
      <c r="D74">
        <f>INDEX('סקרים לפי ערוץ'!G:G,MATCH($A74,'סקרים לפי ערוץ'!$A:$A,0))</f>
        <v>7</v>
      </c>
      <c r="E74">
        <f>COUNTIFS('מועמדים 2026'!$A:$A,$C74,'מועמדים 2026'!$D:$D,"נ",'מועמדים 2026'!$B:$B,"&lt;="&amp;$D74)</f>
        <v>0</v>
      </c>
      <c r="F74">
        <f>COUNTIFS('מועמדים 2026'!$A:$A,$C74,'מועמדים 2026'!$D:$D,"ז",'מועמדים 2026'!$B:$B,"&lt;="&amp;$D74)</f>
        <v>7</v>
      </c>
      <c r="G74">
        <f t="shared" si="3"/>
        <v>0</v>
      </c>
      <c r="H74">
        <f>COUNTIFS('מועמדים 2026'!$A:$A,$C74)</f>
        <v>11</v>
      </c>
      <c r="I74" t="str">
        <f t="shared" si="4"/>
        <v/>
      </c>
    </row>
    <row r="75" spans="1:9">
      <c r="A75" t="s">
        <v>28</v>
      </c>
      <c r="B75" t="str">
        <f>INDEX('סקרים לפי ערוץ'!$B:$B,MATCH($A75,'סקרים לפי ערוץ'!$A:$A,0))</f>
        <v>2026-10-14</v>
      </c>
      <c r="C75" t="s">
        <v>13</v>
      </c>
      <c r="D75">
        <f>INDEX('סקרים לפי ערוץ'!H:H,MATCH($A75,'סקרים לפי ערוץ'!$A:$A,0))</f>
        <v>0</v>
      </c>
      <c r="E75">
        <f>COUNTIFS('מועמדים 2026'!$A:$A,$C75,'מועמדים 2026'!$D:$D,"נ",'מועמדים 2026'!$B:$B,"&lt;="&amp;$D75)</f>
        <v>0</v>
      </c>
      <c r="F75">
        <f>COUNTIFS('מועמדים 2026'!$A:$A,$C75,'מועמדים 2026'!$D:$D,"ז",'מועמדים 2026'!$B:$B,"&lt;="&amp;$D75)</f>
        <v>0</v>
      </c>
      <c r="G75">
        <f t="shared" si="3"/>
        <v>0</v>
      </c>
      <c r="H75">
        <f>COUNTIFS('מועמדים 2026'!$A:$A,$C75)</f>
        <v>5</v>
      </c>
      <c r="I75" t="str">
        <f t="shared" si="4"/>
        <v/>
      </c>
    </row>
    <row r="76" spans="1:9">
      <c r="A76" t="s">
        <v>28</v>
      </c>
      <c r="B76" t="str">
        <f>INDEX('סקרים לפי ערוץ'!$B:$B,MATCH($A76,'סקרים לפי ערוץ'!$A:$A,0))</f>
        <v>2026-10-14</v>
      </c>
      <c r="C76" t="s">
        <v>14</v>
      </c>
      <c r="D76">
        <f>INDEX('סקרים לפי ערוץ'!I:I,MATCH($A76,'סקרים לפי ערוץ'!$A:$A,0))</f>
        <v>9</v>
      </c>
      <c r="E76">
        <f>COUNTIFS('מועמדים 2026'!$A:$A,$C76,'מועמדים 2026'!$D:$D,"נ",'מועמדים 2026'!$B:$B,"&lt;="&amp;$D76)</f>
        <v>2</v>
      </c>
      <c r="F76">
        <f>COUNTIFS('מועמדים 2026'!$A:$A,$C76,'מועמדים 2026'!$D:$D,"ז",'מועמדים 2026'!$B:$B,"&lt;="&amp;$D76)</f>
        <v>7</v>
      </c>
      <c r="G76">
        <f t="shared" si="3"/>
        <v>0.22222222222222221</v>
      </c>
      <c r="H76">
        <f>COUNTIFS('מועמדים 2026'!$A:$A,$C76)</f>
        <v>10</v>
      </c>
      <c r="I76" t="str">
        <f t="shared" si="4"/>
        <v/>
      </c>
    </row>
    <row r="77" spans="1:9">
      <c r="A77" t="s">
        <v>28</v>
      </c>
      <c r="B77" t="str">
        <f>INDEX('סקרים לפי ערוץ'!$B:$B,MATCH($A77,'סקרים לפי ערוץ'!$A:$A,0))</f>
        <v>2026-10-14</v>
      </c>
      <c r="C77" t="s">
        <v>15</v>
      </c>
      <c r="D77">
        <f>INDEX('סקרים לפי ערוץ'!J:J,MATCH($A77,'סקרים לפי ערוץ'!$A:$A,0))</f>
        <v>9</v>
      </c>
      <c r="E77">
        <f>COUNTIFS('מועמדים 2026'!$A:$A,$C77,'מועמדים 2026'!$D:$D,"נ",'מועמדים 2026'!$B:$B,"&lt;="&amp;$D77)</f>
        <v>3</v>
      </c>
      <c r="F77">
        <f>COUNTIFS('מועמדים 2026'!$A:$A,$C77,'מועמדים 2026'!$D:$D,"ז",'מועמדים 2026'!$B:$B,"&lt;="&amp;$D77)</f>
        <v>6</v>
      </c>
      <c r="G77">
        <f t="shared" si="3"/>
        <v>0.33333333333333331</v>
      </c>
      <c r="H77">
        <f>COUNTIFS('מועמדים 2026'!$A:$A,$C77)</f>
        <v>20</v>
      </c>
      <c r="I77" t="str">
        <f t="shared" si="4"/>
        <v/>
      </c>
    </row>
    <row r="78" spans="1:9">
      <c r="A78" t="s">
        <v>28</v>
      </c>
      <c r="B78" t="str">
        <f>INDEX('סקרים לפי ערוץ'!$B:$B,MATCH($A78,'סקרים לפי ערוץ'!$A:$A,0))</f>
        <v>2026-10-14</v>
      </c>
      <c r="C78" t="s">
        <v>16</v>
      </c>
      <c r="D78">
        <f>INDEX('סקרים לפי ערוץ'!K:K,MATCH($A78,'סקרים לפי ערוץ'!$A:$A,0))</f>
        <v>9</v>
      </c>
      <c r="E78">
        <f>COUNTIFS('מועמדים 2026'!$A:$A,$C78,'מועמדים 2026'!$D:$D,"נ",'מועמדים 2026'!$B:$B,"&lt;="&amp;$D78)</f>
        <v>4</v>
      </c>
      <c r="F78">
        <f>COUNTIFS('מועמדים 2026'!$A:$A,$C78,'מועמדים 2026'!$D:$D,"ז",'מועמדים 2026'!$B:$B,"&lt;="&amp;$D78)</f>
        <v>5</v>
      </c>
      <c r="G78">
        <f t="shared" si="3"/>
        <v>0.44444444444444442</v>
      </c>
      <c r="H78">
        <f>COUNTIFS('מועמדים 2026'!$A:$A,$C78)</f>
        <v>20</v>
      </c>
      <c r="I78" t="str">
        <f t="shared" si="4"/>
        <v/>
      </c>
    </row>
    <row r="79" spans="1:9">
      <c r="A79" t="s">
        <v>28</v>
      </c>
      <c r="B79" t="str">
        <f>INDEX('סקרים לפי ערוץ'!$B:$B,MATCH($A79,'סקרים לפי ערוץ'!$A:$A,0))</f>
        <v>2026-10-14</v>
      </c>
      <c r="C79" t="s">
        <v>17</v>
      </c>
      <c r="D79">
        <f>INDEX('סקרים לפי ערוץ'!L:L,MATCH($A79,'סקרים לפי ערוץ'!$A:$A,0))</f>
        <v>6</v>
      </c>
      <c r="E79">
        <f>COUNTIFS('מועמדים 2026'!$A:$A,$C79,'מועמדים 2026'!$D:$D,"נ",'מועמדים 2026'!$B:$B,"&lt;="&amp;$D79)</f>
        <v>1</v>
      </c>
      <c r="F79">
        <f>COUNTIFS('מועמדים 2026'!$A:$A,$C79,'מועמדים 2026'!$D:$D,"ז",'מועמדים 2026'!$B:$B,"&lt;="&amp;$D79)</f>
        <v>5</v>
      </c>
      <c r="G79">
        <f t="shared" si="3"/>
        <v>0.16666666666666666</v>
      </c>
      <c r="H79">
        <f>COUNTIFS('מועמדים 2026'!$A:$A,$C79)</f>
        <v>18</v>
      </c>
      <c r="I79" t="str">
        <f t="shared" si="4"/>
        <v/>
      </c>
    </row>
    <row r="80" spans="1:9">
      <c r="A80" t="s">
        <v>28</v>
      </c>
      <c r="B80" t="str">
        <f>INDEX('סקרים לפי ערוץ'!$B:$B,MATCH($A80,'סקרים לפי ערוץ'!$A:$A,0))</f>
        <v>2026-10-14</v>
      </c>
      <c r="C80" t="s">
        <v>18</v>
      </c>
      <c r="D80">
        <f>INDEX('סקרים לפי ערוץ'!M:M,MATCH($A80,'סקרים לפי ערוץ'!$A:$A,0))</f>
        <v>6</v>
      </c>
      <c r="E80">
        <f>COUNTIFS('מועמדים 2026'!$A:$A,$C80,'מועמדים 2026'!$D:$D,"נ",'מועמדים 2026'!$B:$B,"&lt;="&amp;$D80)</f>
        <v>1</v>
      </c>
      <c r="F80">
        <f>COUNTIFS('מועמדים 2026'!$A:$A,$C80,'מועמדים 2026'!$D:$D,"ז",'מועמדים 2026'!$B:$B,"&lt;="&amp;$D80)</f>
        <v>5</v>
      </c>
      <c r="G80">
        <f t="shared" si="3"/>
        <v>0.16666666666666666</v>
      </c>
      <c r="H80">
        <f>COUNTIFS('מועמדים 2026'!$A:$A,$C80)</f>
        <v>6</v>
      </c>
      <c r="I80" t="str">
        <f t="shared" si="4"/>
        <v/>
      </c>
    </row>
    <row r="81" spans="1:9">
      <c r="A81" t="s">
        <v>28</v>
      </c>
      <c r="B81" t="str">
        <f>INDEX('סקרים לפי ערוץ'!$B:$B,MATCH($A81,'סקרים לפי ערוץ'!$A:$A,0))</f>
        <v>2026-10-14</v>
      </c>
      <c r="C81" t="s">
        <v>19</v>
      </c>
      <c r="D81">
        <f>INDEX('סקרים לפי ערוץ'!N:N,MATCH($A81,'סקרים לפי ערוץ'!$A:$A,0))</f>
        <v>8</v>
      </c>
      <c r="E81">
        <f>COUNTIFS('מועמדים 2026'!$A:$A,$C81,'מועמדים 2026'!$D:$D,"נ",'מועמדים 2026'!$B:$B,"&lt;="&amp;$D81)</f>
        <v>2</v>
      </c>
      <c r="F81">
        <f>COUNTIFS('מועמדים 2026'!$A:$A,$C81,'מועמדים 2026'!$D:$D,"ז",'מועמדים 2026'!$B:$B,"&lt;="&amp;$D81)</f>
        <v>6</v>
      </c>
      <c r="G81">
        <f t="shared" si="3"/>
        <v>0.25</v>
      </c>
      <c r="H81">
        <f>COUNTIFS('מועמדים 2026'!$A:$A,$C81)</f>
        <v>17</v>
      </c>
      <c r="I81" t="str">
        <f t="shared" si="4"/>
        <v/>
      </c>
    </row>
    <row r="82" spans="1:9">
      <c r="A82" t="s">
        <v>28</v>
      </c>
      <c r="B82" t="str">
        <f>INDEX('סקרים לפי ערוץ'!$B:$B,MATCH($A82,'סקרים לפי ערוץ'!$A:$A,0))</f>
        <v>2026-10-14</v>
      </c>
      <c r="C82" t="s">
        <v>20</v>
      </c>
      <c r="D82">
        <f>INDEX('סקרים לפי ערוץ'!O:O,MATCH($A82,'סקרים לפי ערוץ'!$A:$A,0))</f>
        <v>12</v>
      </c>
      <c r="E82">
        <f>COUNTIFS('מועמדים 2026'!$A:$A,$C82,'מועמדים 2026'!$D:$D,"נ",'מועמדים 2026'!$B:$B,"&lt;="&amp;$D82)</f>
        <v>6</v>
      </c>
      <c r="F82">
        <f>COUNTIFS('מועמדים 2026'!$A:$A,$C82,'מועמדים 2026'!$D:$D,"ז",'מועמדים 2026'!$B:$B,"&lt;="&amp;$D82)</f>
        <v>6</v>
      </c>
      <c r="G82">
        <f t="shared" si="3"/>
        <v>0.5</v>
      </c>
      <c r="H82">
        <f>COUNTIFS('מועמדים 2026'!$A:$A,$C82)</f>
        <v>26</v>
      </c>
      <c r="I82" t="str">
        <f t="shared" si="4"/>
        <v/>
      </c>
    </row>
    <row r="83" spans="1:9">
      <c r="A83" t="s">
        <v>28</v>
      </c>
      <c r="B83" t="str">
        <f>INDEX('סקרים לפי ערוץ'!$B:$B,MATCH($A83,'סקרים לפי ערוץ'!$A:$A,0))</f>
        <v>2026-10-14</v>
      </c>
      <c r="C83" t="s">
        <v>21</v>
      </c>
      <c r="D83">
        <f>INDEX('סקרים לפי ערוץ'!P:P,MATCH($A83,'סקרים לפי ערוץ'!$A:$A,0))</f>
        <v>20</v>
      </c>
      <c r="E83">
        <f>COUNTIFS('מועמדים 2026'!$A:$A,$C83,'מועמדים 2026'!$D:$D,"נ",'מועמדים 2026'!$B:$B,"&lt;="&amp;$D83)</f>
        <v>10</v>
      </c>
      <c r="F83">
        <f>COUNTIFS('מועמדים 2026'!$A:$A,$C83,'מועמדים 2026'!$D:$D,"ז",'מועמדים 2026'!$B:$B,"&lt;="&amp;$D83)</f>
        <v>10</v>
      </c>
      <c r="G83">
        <f t="shared" si="3"/>
        <v>0.5</v>
      </c>
      <c r="H83">
        <f>COUNTIFS('מועמדים 2026'!$A:$A,$C83)</f>
        <v>40</v>
      </c>
      <c r="I83" t="str">
        <f t="shared" si="4"/>
        <v/>
      </c>
    </row>
    <row r="84" spans="1:9">
      <c r="A84" t="s">
        <v>28</v>
      </c>
      <c r="B84" t="str">
        <f>INDEX('סקרים לפי ערוץ'!$B:$B,MATCH($A84,'סקרים לפי ערוץ'!$A:$A,0))</f>
        <v>2026-10-14</v>
      </c>
      <c r="C84" t="s">
        <v>22</v>
      </c>
      <c r="D84">
        <f>INDEX('סקרים לפי ערוץ'!Q:Q,MATCH($A84,'סקרים לפי ערוץ'!$A:$A,0))</f>
        <v>4</v>
      </c>
      <c r="E84">
        <f>COUNTIFS('מועמדים 2026'!$A:$A,$C84,'מועמדים 2026'!$D:$D,"נ",'מועמדים 2026'!$B:$B,"&lt;="&amp;$D84)</f>
        <v>1</v>
      </c>
      <c r="F84">
        <f>COUNTIFS('מועמדים 2026'!$A:$A,$C84,'מועמדים 2026'!$D:$D,"ז",'מועמדים 2026'!$B:$B,"&lt;="&amp;$D84)</f>
        <v>3</v>
      </c>
      <c r="G84">
        <f t="shared" si="3"/>
        <v>0.25</v>
      </c>
      <c r="H84">
        <f>COUNTIFS('מועמדים 2026'!$A:$A,$C84)</f>
        <v>11</v>
      </c>
      <c r="I84" t="str">
        <f t="shared" si="4"/>
        <v/>
      </c>
    </row>
    <row r="85" spans="1:9">
      <c r="A85" t="s">
        <v>28</v>
      </c>
      <c r="B85" t="str">
        <f>INDEX('סקרים לפי ערוץ'!$B:$B,MATCH($A85,'סקרים לפי ערוץ'!$A:$A,0))</f>
        <v>2026-10-14</v>
      </c>
      <c r="C85" t="s">
        <v>23</v>
      </c>
      <c r="D85">
        <f>INDEX('סקרים לפי ערוץ'!R:R,MATCH($A85,'סקרים לפי ערוץ'!$A:$A,0))</f>
        <v>4</v>
      </c>
      <c r="E85">
        <f>COUNTIFS('מועמדים 2026'!$A:$A,$C85,'מועמדים 2026'!$D:$D,"נ",'מועמדים 2026'!$B:$B,"&lt;="&amp;$D85)</f>
        <v>1</v>
      </c>
      <c r="F85">
        <f>COUNTIFS('מועמדים 2026'!$A:$A,$C85,'מועמדים 2026'!$D:$D,"ז",'מועמדים 2026'!$B:$B,"&lt;="&amp;$D85)</f>
        <v>3</v>
      </c>
      <c r="G85">
        <f t="shared" si="3"/>
        <v>0.25</v>
      </c>
      <c r="H85">
        <f>COUNTIFS('מועמדים 2026'!$A:$A,$C85)</f>
        <v>20</v>
      </c>
      <c r="I85" t="str">
        <f t="shared" si="4"/>
        <v/>
      </c>
    </row>
    <row r="86" spans="1:9">
      <c r="A86" t="s">
        <v>29</v>
      </c>
      <c r="B86" t="str">
        <f>INDEX('סקרים לפי ערוץ'!$B:$B,MATCH($A86,'סקרים לפי ערוץ'!$A:$A,0))</f>
        <v>2026-10-13</v>
      </c>
      <c r="C86" t="s">
        <v>10</v>
      </c>
      <c r="D86">
        <f>INDEX('סקרים לפי ערוץ'!E:E,MATCH($A86,'סקרים לפי ערוץ'!$A:$A,0))</f>
        <v>18</v>
      </c>
      <c r="E86">
        <f>COUNTIFS('מועמדים 2026'!$A:$A,$C86,'מועמדים 2026'!$D:$D,"נ",'מועמדים 2026'!$B:$B,"&lt;="&amp;$D86)</f>
        <v>2</v>
      </c>
      <c r="F86">
        <f>COUNTIFS('מועמדים 2026'!$A:$A,$C86,'מועמדים 2026'!$D:$D,"ז",'מועמדים 2026'!$B:$B,"&lt;="&amp;$D86)</f>
        <v>16</v>
      </c>
      <c r="G86">
        <f t="shared" si="3"/>
        <v>0.1111111111111111</v>
      </c>
      <c r="H86">
        <f>COUNTIFS('מועמדים 2026'!$A:$A,$C86)</f>
        <v>36</v>
      </c>
      <c r="I86" t="str">
        <f t="shared" si="4"/>
        <v/>
      </c>
    </row>
    <row r="87" spans="1:9">
      <c r="A87" t="s">
        <v>29</v>
      </c>
      <c r="B87" t="str">
        <f>INDEX('סקרים לפי ערוץ'!$B:$B,MATCH($A87,'סקרים לפי ערוץ'!$A:$A,0))</f>
        <v>2026-10-13</v>
      </c>
      <c r="C87" t="s">
        <v>11</v>
      </c>
      <c r="D87">
        <f>INDEX('סקרים לפי ערוץ'!F:F,MATCH($A87,'סקרים לפי ערוץ'!$A:$A,0))</f>
        <v>8</v>
      </c>
      <c r="E87">
        <f>COUNTIFS('מועמדים 2026'!$A:$A,$C87,'מועמדים 2026'!$D:$D,"נ",'מועמדים 2026'!$B:$B,"&lt;="&amp;$D87)</f>
        <v>0</v>
      </c>
      <c r="F87">
        <f>COUNTIFS('מועמדים 2026'!$A:$A,$C87,'מועמדים 2026'!$D:$D,"ז",'מועמדים 2026'!$B:$B,"&lt;="&amp;$D87)</f>
        <v>8</v>
      </c>
      <c r="G87">
        <f t="shared" si="3"/>
        <v>0</v>
      </c>
      <c r="H87">
        <f>COUNTIFS('מועמדים 2026'!$A:$A,$C87)</f>
        <v>9</v>
      </c>
      <c r="I87" t="str">
        <f t="shared" si="4"/>
        <v/>
      </c>
    </row>
    <row r="88" spans="1:9">
      <c r="A88" t="s">
        <v>29</v>
      </c>
      <c r="B88" t="str">
        <f>INDEX('סקרים לפי ערוץ'!$B:$B,MATCH($A88,'סקרים לפי ערוץ'!$A:$A,0))</f>
        <v>2026-10-13</v>
      </c>
      <c r="C88" t="s">
        <v>12</v>
      </c>
      <c r="D88">
        <f>INDEX('סקרים לפי ערוץ'!G:G,MATCH($A88,'סקרים לפי ערוץ'!$A:$A,0))</f>
        <v>7</v>
      </c>
      <c r="E88">
        <f>COUNTIFS('מועמדים 2026'!$A:$A,$C88,'מועמדים 2026'!$D:$D,"נ",'מועמדים 2026'!$B:$B,"&lt;="&amp;$D88)</f>
        <v>0</v>
      </c>
      <c r="F88">
        <f>COUNTIFS('מועמדים 2026'!$A:$A,$C88,'מועמדים 2026'!$D:$D,"ז",'מועמדים 2026'!$B:$B,"&lt;="&amp;$D88)</f>
        <v>7</v>
      </c>
      <c r="G88">
        <f t="shared" si="3"/>
        <v>0</v>
      </c>
      <c r="H88">
        <f>COUNTIFS('מועמדים 2026'!$A:$A,$C88)</f>
        <v>11</v>
      </c>
      <c r="I88" t="str">
        <f t="shared" si="4"/>
        <v/>
      </c>
    </row>
    <row r="89" spans="1:9">
      <c r="A89" t="s">
        <v>29</v>
      </c>
      <c r="B89" t="str">
        <f>INDEX('סקרים לפי ערוץ'!$B:$B,MATCH($A89,'סקרים לפי ערוץ'!$A:$A,0))</f>
        <v>2026-10-13</v>
      </c>
      <c r="C89" t="s">
        <v>13</v>
      </c>
      <c r="D89">
        <f>INDEX('סקרים לפי ערוץ'!H:H,MATCH($A89,'סקרים לפי ערוץ'!$A:$A,0))</f>
        <v>0</v>
      </c>
      <c r="E89">
        <f>COUNTIFS('מועמדים 2026'!$A:$A,$C89,'מועמדים 2026'!$D:$D,"נ",'מועמדים 2026'!$B:$B,"&lt;="&amp;$D89)</f>
        <v>0</v>
      </c>
      <c r="F89">
        <f>COUNTIFS('מועמדים 2026'!$A:$A,$C89,'מועמדים 2026'!$D:$D,"ז",'מועמדים 2026'!$B:$B,"&lt;="&amp;$D89)</f>
        <v>0</v>
      </c>
      <c r="G89">
        <f t="shared" si="3"/>
        <v>0</v>
      </c>
      <c r="H89">
        <f>COUNTIFS('מועמדים 2026'!$A:$A,$C89)</f>
        <v>5</v>
      </c>
      <c r="I89" t="str">
        <f t="shared" si="4"/>
        <v/>
      </c>
    </row>
    <row r="90" spans="1:9">
      <c r="A90" t="s">
        <v>29</v>
      </c>
      <c r="B90" t="str">
        <f>INDEX('סקרים לפי ערוץ'!$B:$B,MATCH($A90,'סקרים לפי ערוץ'!$A:$A,0))</f>
        <v>2026-10-13</v>
      </c>
      <c r="C90" t="s">
        <v>14</v>
      </c>
      <c r="D90">
        <f>INDEX('סקרים לפי ערוץ'!I:I,MATCH($A90,'סקרים לפי ערוץ'!$A:$A,0))</f>
        <v>8</v>
      </c>
      <c r="E90">
        <f>COUNTIFS('מועמדים 2026'!$A:$A,$C90,'מועמדים 2026'!$D:$D,"נ",'מועמדים 2026'!$B:$B,"&lt;="&amp;$D90)</f>
        <v>1</v>
      </c>
      <c r="F90">
        <f>COUNTIFS('מועמדים 2026'!$A:$A,$C90,'מועמדים 2026'!$D:$D,"ז",'מועמדים 2026'!$B:$B,"&lt;="&amp;$D90)</f>
        <v>7</v>
      </c>
      <c r="G90">
        <f t="shared" si="3"/>
        <v>0.125</v>
      </c>
      <c r="H90">
        <f>COUNTIFS('מועמדים 2026'!$A:$A,$C90)</f>
        <v>10</v>
      </c>
      <c r="I90" t="str">
        <f t="shared" si="4"/>
        <v/>
      </c>
    </row>
    <row r="91" spans="1:9">
      <c r="A91" t="s">
        <v>29</v>
      </c>
      <c r="B91" t="str">
        <f>INDEX('סקרים לפי ערוץ'!$B:$B,MATCH($A91,'סקרים לפי ערוץ'!$A:$A,0))</f>
        <v>2026-10-13</v>
      </c>
      <c r="C91" t="s">
        <v>15</v>
      </c>
      <c r="D91">
        <f>INDEX('סקרים לפי ערוץ'!J:J,MATCH($A91,'סקרים לפי ערוץ'!$A:$A,0))</f>
        <v>7</v>
      </c>
      <c r="E91">
        <f>COUNTIFS('מועמדים 2026'!$A:$A,$C91,'מועמדים 2026'!$D:$D,"נ",'מועמדים 2026'!$B:$B,"&lt;="&amp;$D91)</f>
        <v>2</v>
      </c>
      <c r="F91">
        <f>COUNTIFS('מועמדים 2026'!$A:$A,$C91,'מועמדים 2026'!$D:$D,"ז",'מועמדים 2026'!$B:$B,"&lt;="&amp;$D91)</f>
        <v>5</v>
      </c>
      <c r="G91">
        <f t="shared" si="3"/>
        <v>0.2857142857142857</v>
      </c>
      <c r="H91">
        <f>COUNTIFS('מועמדים 2026'!$A:$A,$C91)</f>
        <v>20</v>
      </c>
      <c r="I91" t="str">
        <f t="shared" si="4"/>
        <v/>
      </c>
    </row>
    <row r="92" spans="1:9">
      <c r="A92" t="s">
        <v>29</v>
      </c>
      <c r="B92" t="str">
        <f>INDEX('סקרים לפי ערוץ'!$B:$B,MATCH($A92,'סקרים לפי ערוץ'!$A:$A,0))</f>
        <v>2026-10-13</v>
      </c>
      <c r="C92" t="s">
        <v>16</v>
      </c>
      <c r="D92">
        <f>INDEX('סקרים לפי ערוץ'!K:K,MATCH($A92,'סקרים לפי ערוץ'!$A:$A,0))</f>
        <v>9</v>
      </c>
      <c r="E92">
        <f>COUNTIFS('מועמדים 2026'!$A:$A,$C92,'מועמדים 2026'!$D:$D,"נ",'מועמדים 2026'!$B:$B,"&lt;="&amp;$D92)</f>
        <v>4</v>
      </c>
      <c r="F92">
        <f>COUNTIFS('מועמדים 2026'!$A:$A,$C92,'מועמדים 2026'!$D:$D,"ז",'מועמדים 2026'!$B:$B,"&lt;="&amp;$D92)</f>
        <v>5</v>
      </c>
      <c r="G92">
        <f t="shared" si="3"/>
        <v>0.44444444444444442</v>
      </c>
      <c r="H92">
        <f>COUNTIFS('מועמדים 2026'!$A:$A,$C92)</f>
        <v>20</v>
      </c>
      <c r="I92" t="str">
        <f t="shared" si="4"/>
        <v/>
      </c>
    </row>
    <row r="93" spans="1:9">
      <c r="A93" t="s">
        <v>29</v>
      </c>
      <c r="B93" t="str">
        <f>INDEX('סקרים לפי ערוץ'!$B:$B,MATCH($A93,'סקרים לפי ערוץ'!$A:$A,0))</f>
        <v>2026-10-13</v>
      </c>
      <c r="C93" t="s">
        <v>17</v>
      </c>
      <c r="D93">
        <f>INDEX('סקרים לפי ערוץ'!L:L,MATCH($A93,'סקרים לפי ערוץ'!$A:$A,0))</f>
        <v>6</v>
      </c>
      <c r="E93">
        <f>COUNTIFS('מועמדים 2026'!$A:$A,$C93,'מועמדים 2026'!$D:$D,"נ",'מועמדים 2026'!$B:$B,"&lt;="&amp;$D93)</f>
        <v>1</v>
      </c>
      <c r="F93">
        <f>COUNTIFS('מועמדים 2026'!$A:$A,$C93,'מועמדים 2026'!$D:$D,"ז",'מועמדים 2026'!$B:$B,"&lt;="&amp;$D93)</f>
        <v>5</v>
      </c>
      <c r="G93">
        <f t="shared" si="3"/>
        <v>0.16666666666666666</v>
      </c>
      <c r="H93">
        <f>COUNTIFS('מועמדים 2026'!$A:$A,$C93)</f>
        <v>18</v>
      </c>
      <c r="I93" t="str">
        <f t="shared" si="4"/>
        <v/>
      </c>
    </row>
    <row r="94" spans="1:9">
      <c r="A94" t="s">
        <v>29</v>
      </c>
      <c r="B94" t="str">
        <f>INDEX('סקרים לפי ערוץ'!$B:$B,MATCH($A94,'סקרים לפי ערוץ'!$A:$A,0))</f>
        <v>2026-10-13</v>
      </c>
      <c r="C94" t="s">
        <v>18</v>
      </c>
      <c r="D94">
        <f>INDEX('סקרים לפי ערוץ'!M:M,MATCH($A94,'סקרים לפי ערוץ'!$A:$A,0))</f>
        <v>5</v>
      </c>
      <c r="E94">
        <f>COUNTIFS('מועמדים 2026'!$A:$A,$C94,'מועמדים 2026'!$D:$D,"נ",'מועמדים 2026'!$B:$B,"&lt;="&amp;$D94)</f>
        <v>1</v>
      </c>
      <c r="F94">
        <f>COUNTIFS('מועמדים 2026'!$A:$A,$C94,'מועמדים 2026'!$D:$D,"ז",'מועמדים 2026'!$B:$B,"&lt;="&amp;$D94)</f>
        <v>4</v>
      </c>
      <c r="G94">
        <f t="shared" si="3"/>
        <v>0.2</v>
      </c>
      <c r="H94">
        <f>COUNTIFS('מועמדים 2026'!$A:$A,$C94)</f>
        <v>6</v>
      </c>
      <c r="I94" t="str">
        <f t="shared" si="4"/>
        <v/>
      </c>
    </row>
    <row r="95" spans="1:9">
      <c r="A95" t="s">
        <v>29</v>
      </c>
      <c r="B95" t="str">
        <f>INDEX('סקרים לפי ערוץ'!$B:$B,MATCH($A95,'סקרים לפי ערוץ'!$A:$A,0))</f>
        <v>2026-10-13</v>
      </c>
      <c r="C95" t="s">
        <v>19</v>
      </c>
      <c r="D95">
        <f>INDEX('סקרים לפי ערוץ'!N:N,MATCH($A95,'סקרים לפי ערוץ'!$A:$A,0))</f>
        <v>9</v>
      </c>
      <c r="E95">
        <f>COUNTIFS('מועמדים 2026'!$A:$A,$C95,'מועמדים 2026'!$D:$D,"נ",'מועמדים 2026'!$B:$B,"&lt;="&amp;$D95)</f>
        <v>2</v>
      </c>
      <c r="F95">
        <f>COUNTIFS('מועמדים 2026'!$A:$A,$C95,'מועמדים 2026'!$D:$D,"ז",'מועמדים 2026'!$B:$B,"&lt;="&amp;$D95)</f>
        <v>7</v>
      </c>
      <c r="G95">
        <f t="shared" si="3"/>
        <v>0.22222222222222221</v>
      </c>
      <c r="H95">
        <f>COUNTIFS('מועמדים 2026'!$A:$A,$C95)</f>
        <v>17</v>
      </c>
      <c r="I95" t="str">
        <f t="shared" si="4"/>
        <v/>
      </c>
    </row>
    <row r="96" spans="1:9">
      <c r="A96" t="s">
        <v>29</v>
      </c>
      <c r="B96" t="str">
        <f>INDEX('סקרים לפי ערוץ'!$B:$B,MATCH($A96,'סקרים לפי ערוץ'!$A:$A,0))</f>
        <v>2026-10-13</v>
      </c>
      <c r="C96" t="s">
        <v>20</v>
      </c>
      <c r="D96">
        <f>INDEX('סקרים לפי ערוץ'!O:O,MATCH($A96,'סקרים לפי ערוץ'!$A:$A,0))</f>
        <v>13</v>
      </c>
      <c r="E96">
        <f>COUNTIFS('מועמדים 2026'!$A:$A,$C96,'מועמדים 2026'!$D:$D,"נ",'מועמדים 2026'!$B:$B,"&lt;="&amp;$D96)</f>
        <v>6</v>
      </c>
      <c r="F96">
        <f>COUNTIFS('מועמדים 2026'!$A:$A,$C96,'מועמדים 2026'!$D:$D,"ז",'מועמדים 2026'!$B:$B,"&lt;="&amp;$D96)</f>
        <v>7</v>
      </c>
      <c r="G96">
        <f t="shared" si="3"/>
        <v>0.46153846153846156</v>
      </c>
      <c r="H96">
        <f>COUNTIFS('מועמדים 2026'!$A:$A,$C96)</f>
        <v>26</v>
      </c>
      <c r="I96" t="str">
        <f t="shared" si="4"/>
        <v/>
      </c>
    </row>
    <row r="97" spans="1:9">
      <c r="A97" t="s">
        <v>29</v>
      </c>
      <c r="B97" t="str">
        <f>INDEX('סקרים לפי ערוץ'!$B:$B,MATCH($A97,'סקרים לפי ערוץ'!$A:$A,0))</f>
        <v>2026-10-13</v>
      </c>
      <c r="C97" t="s">
        <v>21</v>
      </c>
      <c r="D97">
        <f>INDEX('סקרים לפי ערוץ'!P:P,MATCH($A97,'סקרים לפי ערוץ'!$A:$A,0))</f>
        <v>21</v>
      </c>
      <c r="E97">
        <f>COUNTIFS('מועמדים 2026'!$A:$A,$C97,'מועמדים 2026'!$D:$D,"נ",'מועמדים 2026'!$B:$B,"&lt;="&amp;$D97)</f>
        <v>11</v>
      </c>
      <c r="F97">
        <f>COUNTIFS('מועמדים 2026'!$A:$A,$C97,'מועמדים 2026'!$D:$D,"ז",'מועמדים 2026'!$B:$B,"&lt;="&amp;$D97)</f>
        <v>10</v>
      </c>
      <c r="G97">
        <f t="shared" si="3"/>
        <v>0.52380952380952384</v>
      </c>
      <c r="H97">
        <f>COUNTIFS('מועמדים 2026'!$A:$A,$C97)</f>
        <v>40</v>
      </c>
      <c r="I97" t="str">
        <f t="shared" si="4"/>
        <v/>
      </c>
    </row>
    <row r="98" spans="1:9">
      <c r="A98" t="s">
        <v>29</v>
      </c>
      <c r="B98" t="str">
        <f>INDEX('סקרים לפי ערוץ'!$B:$B,MATCH($A98,'סקרים לפי ערוץ'!$A:$A,0))</f>
        <v>2026-10-13</v>
      </c>
      <c r="C98" t="s">
        <v>22</v>
      </c>
      <c r="D98">
        <f>INDEX('סקרים לפי ערוץ'!Q:Q,MATCH($A98,'סקרים לפי ערוץ'!$A:$A,0))</f>
        <v>4</v>
      </c>
      <c r="E98">
        <f>COUNTIFS('מועמדים 2026'!$A:$A,$C98,'מועמדים 2026'!$D:$D,"נ",'מועמדים 2026'!$B:$B,"&lt;="&amp;$D98)</f>
        <v>1</v>
      </c>
      <c r="F98">
        <f>COUNTIFS('מועמדים 2026'!$A:$A,$C98,'מועמדים 2026'!$D:$D,"ז",'מועמדים 2026'!$B:$B,"&lt;="&amp;$D98)</f>
        <v>3</v>
      </c>
      <c r="G98">
        <f t="shared" ref="G98:G129" si="5">IF($D98=0,0,$E98/$D98)</f>
        <v>0.25</v>
      </c>
      <c r="H98">
        <f>COUNTIFS('מועמדים 2026'!$A:$A,$C98)</f>
        <v>11</v>
      </c>
      <c r="I98" t="str">
        <f t="shared" si="4"/>
        <v/>
      </c>
    </row>
    <row r="99" spans="1:9">
      <c r="A99" t="s">
        <v>29</v>
      </c>
      <c r="B99" t="str">
        <f>INDEX('סקרים לפי ערוץ'!$B:$B,MATCH($A99,'סקרים לפי ערוץ'!$A:$A,0))</f>
        <v>2026-10-13</v>
      </c>
      <c r="C99" t="s">
        <v>23</v>
      </c>
      <c r="D99">
        <f>INDEX('סקרים לפי ערוץ'!R:R,MATCH($A99,'סקרים לפי ערוץ'!$A:$A,0))</f>
        <v>5</v>
      </c>
      <c r="E99">
        <f>COUNTIFS('מועמדים 2026'!$A:$A,$C99,'מועמדים 2026'!$D:$D,"נ",'מועמדים 2026'!$B:$B,"&lt;="&amp;$D99)</f>
        <v>1</v>
      </c>
      <c r="F99">
        <f>COUNTIFS('מועמדים 2026'!$A:$A,$C99,'מועמדים 2026'!$D:$D,"ז",'מועמדים 2026'!$B:$B,"&lt;="&amp;$D99)</f>
        <v>4</v>
      </c>
      <c r="G99">
        <f t="shared" si="5"/>
        <v>0.2</v>
      </c>
      <c r="H99">
        <f>COUNTIFS('מועמדים 2026'!$A:$A,$C99)</f>
        <v>20</v>
      </c>
      <c r="I99" t="str">
        <f t="shared" si="4"/>
        <v/>
      </c>
    </row>
    <row r="100" spans="1:9">
      <c r="A100" t="s">
        <v>30</v>
      </c>
      <c r="B100" t="str">
        <f>INDEX('סקרים לפי ערוץ'!$B:$B,MATCH($A100,'סקרים לפי ערוץ'!$A:$A,0))</f>
        <v>2026-10-12</v>
      </c>
      <c r="C100" t="s">
        <v>10</v>
      </c>
      <c r="D100">
        <f>INDEX('סקרים לפי ערוץ'!E:E,MATCH($A100,'סקרים לפי ערוץ'!$A:$A,0))</f>
        <v>20</v>
      </c>
      <c r="E100">
        <f>COUNTIFS('מועמדים 2026'!$A:$A,$C100,'מועמדים 2026'!$D:$D,"נ",'מועמדים 2026'!$B:$B,"&lt;="&amp;$D100)</f>
        <v>3</v>
      </c>
      <c r="F100">
        <f>COUNTIFS('מועמדים 2026'!$A:$A,$C100,'מועמדים 2026'!$D:$D,"ז",'מועמדים 2026'!$B:$B,"&lt;="&amp;$D100)</f>
        <v>17</v>
      </c>
      <c r="G100">
        <f t="shared" si="5"/>
        <v>0.15</v>
      </c>
      <c r="H100">
        <f>COUNTIFS('מועמדים 2026'!$A:$A,$C100)</f>
        <v>36</v>
      </c>
      <c r="I100" t="str">
        <f t="shared" si="4"/>
        <v/>
      </c>
    </row>
    <row r="101" spans="1:9">
      <c r="A101" t="s">
        <v>30</v>
      </c>
      <c r="B101" t="str">
        <f>INDEX('סקרים לפי ערוץ'!$B:$B,MATCH($A101,'סקרים לפי ערוץ'!$A:$A,0))</f>
        <v>2026-10-12</v>
      </c>
      <c r="C101" t="s">
        <v>11</v>
      </c>
      <c r="D101">
        <f>INDEX('סקרים לפי ערוץ'!F:F,MATCH($A101,'סקרים לפי ערוץ'!$A:$A,0))</f>
        <v>7</v>
      </c>
      <c r="E101">
        <f>COUNTIFS('מועמדים 2026'!$A:$A,$C101,'מועמדים 2026'!$D:$D,"נ",'מועמדים 2026'!$B:$B,"&lt;="&amp;$D101)</f>
        <v>0</v>
      </c>
      <c r="F101">
        <f>COUNTIFS('מועמדים 2026'!$A:$A,$C101,'מועמדים 2026'!$D:$D,"ז",'מועמדים 2026'!$B:$B,"&lt;="&amp;$D101)</f>
        <v>7</v>
      </c>
      <c r="G101">
        <f t="shared" si="5"/>
        <v>0</v>
      </c>
      <c r="H101">
        <f>COUNTIFS('מועמדים 2026'!$A:$A,$C101)</f>
        <v>9</v>
      </c>
      <c r="I101" t="str">
        <f t="shared" si="4"/>
        <v/>
      </c>
    </row>
    <row r="102" spans="1:9">
      <c r="A102" t="s">
        <v>30</v>
      </c>
      <c r="B102" t="str">
        <f>INDEX('סקרים לפי ערוץ'!$B:$B,MATCH($A102,'סקרים לפי ערוץ'!$A:$A,0))</f>
        <v>2026-10-12</v>
      </c>
      <c r="C102" t="s">
        <v>12</v>
      </c>
      <c r="D102">
        <f>INDEX('סקרים לפי ערוץ'!G:G,MATCH($A102,'סקרים לפי ערוץ'!$A:$A,0))</f>
        <v>8</v>
      </c>
      <c r="E102">
        <f>COUNTIFS('מועמדים 2026'!$A:$A,$C102,'מועמדים 2026'!$D:$D,"נ",'מועמדים 2026'!$B:$B,"&lt;="&amp;$D102)</f>
        <v>0</v>
      </c>
      <c r="F102">
        <f>COUNTIFS('מועמדים 2026'!$A:$A,$C102,'מועמדים 2026'!$D:$D,"ז",'מועמדים 2026'!$B:$B,"&lt;="&amp;$D102)</f>
        <v>8</v>
      </c>
      <c r="G102">
        <f t="shared" si="5"/>
        <v>0</v>
      </c>
      <c r="H102">
        <f>COUNTIFS('מועמדים 2026'!$A:$A,$C102)</f>
        <v>11</v>
      </c>
      <c r="I102" t="str">
        <f t="shared" si="4"/>
        <v/>
      </c>
    </row>
    <row r="103" spans="1:9">
      <c r="A103" t="s">
        <v>30</v>
      </c>
      <c r="B103" t="str">
        <f>INDEX('סקרים לפי ערוץ'!$B:$B,MATCH($A103,'סקרים לפי ערוץ'!$A:$A,0))</f>
        <v>2026-10-12</v>
      </c>
      <c r="C103" t="s">
        <v>13</v>
      </c>
      <c r="D103">
        <f>INDEX('סקרים לפי ערוץ'!H:H,MATCH($A103,'סקרים לפי ערוץ'!$A:$A,0))</f>
        <v>0</v>
      </c>
      <c r="E103">
        <f>COUNTIFS('מועמדים 2026'!$A:$A,$C103,'מועמדים 2026'!$D:$D,"נ",'מועמדים 2026'!$B:$B,"&lt;="&amp;$D103)</f>
        <v>0</v>
      </c>
      <c r="F103">
        <f>COUNTIFS('מועמדים 2026'!$A:$A,$C103,'מועמדים 2026'!$D:$D,"ז",'מועמדים 2026'!$B:$B,"&lt;="&amp;$D103)</f>
        <v>0</v>
      </c>
      <c r="G103">
        <f t="shared" si="5"/>
        <v>0</v>
      </c>
      <c r="H103">
        <f>COUNTIFS('מועמדים 2026'!$A:$A,$C103)</f>
        <v>5</v>
      </c>
      <c r="I103" t="str">
        <f t="shared" si="4"/>
        <v/>
      </c>
    </row>
    <row r="104" spans="1:9">
      <c r="A104" t="s">
        <v>30</v>
      </c>
      <c r="B104" t="str">
        <f>INDEX('סקרים לפי ערוץ'!$B:$B,MATCH($A104,'סקרים לפי ערוץ'!$A:$A,0))</f>
        <v>2026-10-12</v>
      </c>
      <c r="C104" t="s">
        <v>14</v>
      </c>
      <c r="D104">
        <f>INDEX('סקרים לפי ערוץ'!I:I,MATCH($A104,'סקרים לפי ערוץ'!$A:$A,0))</f>
        <v>8</v>
      </c>
      <c r="E104">
        <f>COUNTIFS('מועמדים 2026'!$A:$A,$C104,'מועמדים 2026'!$D:$D,"נ",'מועמדים 2026'!$B:$B,"&lt;="&amp;$D104)</f>
        <v>1</v>
      </c>
      <c r="F104">
        <f>COUNTIFS('מועמדים 2026'!$A:$A,$C104,'מועמדים 2026'!$D:$D,"ז",'מועמדים 2026'!$B:$B,"&lt;="&amp;$D104)</f>
        <v>7</v>
      </c>
      <c r="G104">
        <f t="shared" si="5"/>
        <v>0.125</v>
      </c>
      <c r="H104">
        <f>COUNTIFS('מועמדים 2026'!$A:$A,$C104)</f>
        <v>10</v>
      </c>
      <c r="I104" t="str">
        <f t="shared" si="4"/>
        <v/>
      </c>
    </row>
    <row r="105" spans="1:9">
      <c r="A105" t="s">
        <v>30</v>
      </c>
      <c r="B105" t="str">
        <f>INDEX('סקרים לפי ערוץ'!$B:$B,MATCH($A105,'סקרים לפי ערוץ'!$A:$A,0))</f>
        <v>2026-10-12</v>
      </c>
      <c r="C105" t="s">
        <v>15</v>
      </c>
      <c r="D105">
        <f>INDEX('סקרים לפי ערוץ'!J:J,MATCH($A105,'סקרים לפי ערוץ'!$A:$A,0))</f>
        <v>9</v>
      </c>
      <c r="E105">
        <f>COUNTIFS('מועמדים 2026'!$A:$A,$C105,'מועמדים 2026'!$D:$D,"נ",'מועמדים 2026'!$B:$B,"&lt;="&amp;$D105)</f>
        <v>3</v>
      </c>
      <c r="F105">
        <f>COUNTIFS('מועמדים 2026'!$A:$A,$C105,'מועמדים 2026'!$D:$D,"ז",'מועמדים 2026'!$B:$B,"&lt;="&amp;$D105)</f>
        <v>6</v>
      </c>
      <c r="G105">
        <f t="shared" si="5"/>
        <v>0.33333333333333331</v>
      </c>
      <c r="H105">
        <f>COUNTIFS('מועמדים 2026'!$A:$A,$C105)</f>
        <v>20</v>
      </c>
      <c r="I105" t="str">
        <f t="shared" si="4"/>
        <v/>
      </c>
    </row>
    <row r="106" spans="1:9">
      <c r="A106" t="s">
        <v>30</v>
      </c>
      <c r="B106" t="str">
        <f>INDEX('סקרים לפי ערוץ'!$B:$B,MATCH($A106,'סקרים לפי ערוץ'!$A:$A,0))</f>
        <v>2026-10-12</v>
      </c>
      <c r="C106" t="s">
        <v>16</v>
      </c>
      <c r="D106">
        <f>INDEX('סקרים לפי ערוץ'!K:K,MATCH($A106,'סקרים לפי ערוץ'!$A:$A,0))</f>
        <v>9</v>
      </c>
      <c r="E106">
        <f>COUNTIFS('מועמדים 2026'!$A:$A,$C106,'מועמדים 2026'!$D:$D,"נ",'מועמדים 2026'!$B:$B,"&lt;="&amp;$D106)</f>
        <v>4</v>
      </c>
      <c r="F106">
        <f>COUNTIFS('מועמדים 2026'!$A:$A,$C106,'מועמדים 2026'!$D:$D,"ז",'מועמדים 2026'!$B:$B,"&lt;="&amp;$D106)</f>
        <v>5</v>
      </c>
      <c r="G106">
        <f t="shared" si="5"/>
        <v>0.44444444444444442</v>
      </c>
      <c r="H106">
        <f>COUNTIFS('מועמדים 2026'!$A:$A,$C106)</f>
        <v>20</v>
      </c>
      <c r="I106" t="str">
        <f t="shared" si="4"/>
        <v/>
      </c>
    </row>
    <row r="107" spans="1:9">
      <c r="A107" t="s">
        <v>30</v>
      </c>
      <c r="B107" t="str">
        <f>INDEX('סקרים לפי ערוץ'!$B:$B,MATCH($A107,'סקרים לפי ערוץ'!$A:$A,0))</f>
        <v>2026-10-12</v>
      </c>
      <c r="C107" t="s">
        <v>17</v>
      </c>
      <c r="D107">
        <f>INDEX('סקרים לפי ערוץ'!L:L,MATCH($A107,'סקרים לפי ערוץ'!$A:$A,0))</f>
        <v>6</v>
      </c>
      <c r="E107">
        <f>COUNTIFS('מועמדים 2026'!$A:$A,$C107,'מועמדים 2026'!$D:$D,"נ",'מועמדים 2026'!$B:$B,"&lt;="&amp;$D107)</f>
        <v>1</v>
      </c>
      <c r="F107">
        <f>COUNTIFS('מועמדים 2026'!$A:$A,$C107,'מועמדים 2026'!$D:$D,"ז",'מועמדים 2026'!$B:$B,"&lt;="&amp;$D107)</f>
        <v>5</v>
      </c>
      <c r="G107">
        <f t="shared" si="5"/>
        <v>0.16666666666666666</v>
      </c>
      <c r="H107">
        <f>COUNTIFS('מועמדים 2026'!$A:$A,$C107)</f>
        <v>18</v>
      </c>
      <c r="I107" t="str">
        <f t="shared" si="4"/>
        <v/>
      </c>
    </row>
    <row r="108" spans="1:9">
      <c r="A108" t="s">
        <v>30</v>
      </c>
      <c r="B108" t="str">
        <f>INDEX('סקרים לפי ערוץ'!$B:$B,MATCH($A108,'סקרים לפי ערוץ'!$A:$A,0))</f>
        <v>2026-10-12</v>
      </c>
      <c r="C108" t="s">
        <v>18</v>
      </c>
      <c r="D108">
        <f>INDEX('סקרים לפי ערוץ'!M:M,MATCH($A108,'סקרים לפי ערוץ'!$A:$A,0))</f>
        <v>5</v>
      </c>
      <c r="E108">
        <f>COUNTIFS('מועמדים 2026'!$A:$A,$C108,'מועמדים 2026'!$D:$D,"נ",'מועמדים 2026'!$B:$B,"&lt;="&amp;$D108)</f>
        <v>1</v>
      </c>
      <c r="F108">
        <f>COUNTIFS('מועמדים 2026'!$A:$A,$C108,'מועמדים 2026'!$D:$D,"ז",'מועמדים 2026'!$B:$B,"&lt;="&amp;$D108)</f>
        <v>4</v>
      </c>
      <c r="G108">
        <f t="shared" si="5"/>
        <v>0.2</v>
      </c>
      <c r="H108">
        <f>COUNTIFS('מועמדים 2026'!$A:$A,$C108)</f>
        <v>6</v>
      </c>
      <c r="I108" t="str">
        <f t="shared" si="4"/>
        <v/>
      </c>
    </row>
    <row r="109" spans="1:9">
      <c r="A109" t="s">
        <v>30</v>
      </c>
      <c r="B109" t="str">
        <f>INDEX('סקרים לפי ערוץ'!$B:$B,MATCH($A109,'סקרים לפי ערוץ'!$A:$A,0))</f>
        <v>2026-10-12</v>
      </c>
      <c r="C109" t="s">
        <v>19</v>
      </c>
      <c r="D109">
        <f>INDEX('סקרים לפי ערוץ'!N:N,MATCH($A109,'סקרים לפי ערוץ'!$A:$A,0))</f>
        <v>8</v>
      </c>
      <c r="E109">
        <f>COUNTIFS('מועמדים 2026'!$A:$A,$C109,'מועמדים 2026'!$D:$D,"נ",'מועמדים 2026'!$B:$B,"&lt;="&amp;$D109)</f>
        <v>2</v>
      </c>
      <c r="F109">
        <f>COUNTIFS('מועמדים 2026'!$A:$A,$C109,'מועמדים 2026'!$D:$D,"ז",'מועמדים 2026'!$B:$B,"&lt;="&amp;$D109)</f>
        <v>6</v>
      </c>
      <c r="G109">
        <f t="shared" si="5"/>
        <v>0.25</v>
      </c>
      <c r="H109">
        <f>COUNTIFS('מועמדים 2026'!$A:$A,$C109)</f>
        <v>17</v>
      </c>
      <c r="I109" t="str">
        <f t="shared" si="4"/>
        <v/>
      </c>
    </row>
    <row r="110" spans="1:9">
      <c r="A110" t="s">
        <v>30</v>
      </c>
      <c r="B110" t="str">
        <f>INDEX('סקרים לפי ערוץ'!$B:$B,MATCH($A110,'סקרים לפי ערוץ'!$A:$A,0))</f>
        <v>2026-10-12</v>
      </c>
      <c r="C110" t="s">
        <v>20</v>
      </c>
      <c r="D110">
        <f>INDEX('סקרים לפי ערוץ'!O:O,MATCH($A110,'סקרים לפי ערוץ'!$A:$A,0))</f>
        <v>13</v>
      </c>
      <c r="E110">
        <f>COUNTIFS('מועמדים 2026'!$A:$A,$C110,'מועמדים 2026'!$D:$D,"נ",'מועמדים 2026'!$B:$B,"&lt;="&amp;$D110)</f>
        <v>6</v>
      </c>
      <c r="F110">
        <f>COUNTIFS('מועמדים 2026'!$A:$A,$C110,'מועמדים 2026'!$D:$D,"ז",'מועמדים 2026'!$B:$B,"&lt;="&amp;$D110)</f>
        <v>7</v>
      </c>
      <c r="G110">
        <f t="shared" si="5"/>
        <v>0.46153846153846156</v>
      </c>
      <c r="H110">
        <f>COUNTIFS('מועמדים 2026'!$A:$A,$C110)</f>
        <v>26</v>
      </c>
      <c r="I110" t="str">
        <f t="shared" si="4"/>
        <v/>
      </c>
    </row>
    <row r="111" spans="1:9">
      <c r="A111" t="s">
        <v>30</v>
      </c>
      <c r="B111" t="str">
        <f>INDEX('סקרים לפי ערוץ'!$B:$B,MATCH($A111,'סקרים לפי ערוץ'!$A:$A,0))</f>
        <v>2026-10-12</v>
      </c>
      <c r="C111" t="s">
        <v>21</v>
      </c>
      <c r="D111">
        <f>INDEX('סקרים לפי ערוץ'!P:P,MATCH($A111,'סקרים לפי ערוץ'!$A:$A,0))</f>
        <v>23</v>
      </c>
      <c r="E111">
        <f>COUNTIFS('מועמדים 2026'!$A:$A,$C111,'מועמדים 2026'!$D:$D,"נ",'מועמדים 2026'!$B:$B,"&lt;="&amp;$D111)</f>
        <v>11</v>
      </c>
      <c r="F111">
        <f>COUNTIFS('מועמדים 2026'!$A:$A,$C111,'מועמדים 2026'!$D:$D,"ז",'מועמדים 2026'!$B:$B,"&lt;="&amp;$D111)</f>
        <v>12</v>
      </c>
      <c r="G111">
        <f t="shared" si="5"/>
        <v>0.47826086956521741</v>
      </c>
      <c r="H111">
        <f>COUNTIFS('מועמדים 2026'!$A:$A,$C111)</f>
        <v>40</v>
      </c>
      <c r="I111" t="str">
        <f t="shared" si="4"/>
        <v/>
      </c>
    </row>
    <row r="112" spans="1:9">
      <c r="A112" t="s">
        <v>30</v>
      </c>
      <c r="B112" t="str">
        <f>INDEX('סקרים לפי ערוץ'!$B:$B,MATCH($A112,'סקרים לפי ערוץ'!$A:$A,0))</f>
        <v>2026-10-12</v>
      </c>
      <c r="C112" t="s">
        <v>22</v>
      </c>
      <c r="D112">
        <f>INDEX('סקרים לפי ערוץ'!Q:Q,MATCH($A112,'סקרים לפי ערוץ'!$A:$A,0))</f>
        <v>0</v>
      </c>
      <c r="E112">
        <f>COUNTIFS('מועמדים 2026'!$A:$A,$C112,'מועמדים 2026'!$D:$D,"נ",'מועמדים 2026'!$B:$B,"&lt;="&amp;$D112)</f>
        <v>0</v>
      </c>
      <c r="F112">
        <f>COUNTIFS('מועמדים 2026'!$A:$A,$C112,'מועמדים 2026'!$D:$D,"ז",'מועמדים 2026'!$B:$B,"&lt;="&amp;$D112)</f>
        <v>0</v>
      </c>
      <c r="G112">
        <f t="shared" si="5"/>
        <v>0</v>
      </c>
      <c r="H112">
        <f>COUNTIFS('מועמדים 2026'!$A:$A,$C112)</f>
        <v>11</v>
      </c>
      <c r="I112" t="str">
        <f t="shared" si="4"/>
        <v/>
      </c>
    </row>
    <row r="113" spans="1:9">
      <c r="A113" t="s">
        <v>30</v>
      </c>
      <c r="B113" t="str">
        <f>INDEX('סקרים לפי ערוץ'!$B:$B,MATCH($A113,'סקרים לפי ערוץ'!$A:$A,0))</f>
        <v>2026-10-12</v>
      </c>
      <c r="C113" t="s">
        <v>23</v>
      </c>
      <c r="D113">
        <f>INDEX('סקרים לפי ערוץ'!R:R,MATCH($A113,'סקרים לפי ערוץ'!$A:$A,0))</f>
        <v>4</v>
      </c>
      <c r="E113">
        <f>COUNTIFS('מועמדים 2026'!$A:$A,$C113,'מועמדים 2026'!$D:$D,"נ",'מועמדים 2026'!$B:$B,"&lt;="&amp;$D113)</f>
        <v>1</v>
      </c>
      <c r="F113">
        <f>COUNTIFS('מועמדים 2026'!$A:$A,$C113,'מועמדים 2026'!$D:$D,"ז",'מועמדים 2026'!$B:$B,"&lt;="&amp;$D113)</f>
        <v>3</v>
      </c>
      <c r="G113">
        <f t="shared" si="5"/>
        <v>0.25</v>
      </c>
      <c r="H113">
        <f>COUNTIFS('מועמדים 2026'!$A:$A,$C113)</f>
        <v>20</v>
      </c>
      <c r="I113" t="str">
        <f t="shared" si="4"/>
        <v/>
      </c>
    </row>
    <row r="114" spans="1:9">
      <c r="A114" t="s">
        <v>31</v>
      </c>
      <c r="B114" t="str">
        <f>INDEX('סקרים לפי ערוץ'!$B:$B,MATCH($A114,'סקרים לפי ערוץ'!$A:$A,0))</f>
        <v>2026-10-12</v>
      </c>
      <c r="C114" t="s">
        <v>10</v>
      </c>
      <c r="D114">
        <f>INDEX('סקרים לפי ערוץ'!E:E,MATCH($A114,'סקרים לפי ערוץ'!$A:$A,0))</f>
        <v>20</v>
      </c>
      <c r="E114">
        <f>COUNTIFS('מועמדים 2026'!$A:$A,$C114,'מועמדים 2026'!$D:$D,"נ",'מועמדים 2026'!$B:$B,"&lt;="&amp;$D114)</f>
        <v>3</v>
      </c>
      <c r="F114">
        <f>COUNTIFS('מועמדים 2026'!$A:$A,$C114,'מועמדים 2026'!$D:$D,"ז",'מועמדים 2026'!$B:$B,"&lt;="&amp;$D114)</f>
        <v>17</v>
      </c>
      <c r="G114">
        <f t="shared" si="5"/>
        <v>0.15</v>
      </c>
      <c r="H114">
        <f>COUNTIFS('מועמדים 2026'!$A:$A,$C114)</f>
        <v>36</v>
      </c>
      <c r="I114" t="str">
        <f t="shared" si="4"/>
        <v/>
      </c>
    </row>
    <row r="115" spans="1:9">
      <c r="A115" t="s">
        <v>31</v>
      </c>
      <c r="B115" t="str">
        <f>INDEX('סקרים לפי ערוץ'!$B:$B,MATCH($A115,'סקרים לפי ערוץ'!$A:$A,0))</f>
        <v>2026-10-12</v>
      </c>
      <c r="C115" t="s">
        <v>11</v>
      </c>
      <c r="D115">
        <f>INDEX('סקרים לפי ערוץ'!F:F,MATCH($A115,'סקרים לפי ערוץ'!$A:$A,0))</f>
        <v>8</v>
      </c>
      <c r="E115">
        <f>COUNTIFS('מועמדים 2026'!$A:$A,$C115,'מועמדים 2026'!$D:$D,"נ",'מועמדים 2026'!$B:$B,"&lt;="&amp;$D115)</f>
        <v>0</v>
      </c>
      <c r="F115">
        <f>COUNTIFS('מועמדים 2026'!$A:$A,$C115,'מועמדים 2026'!$D:$D,"ז",'מועמדים 2026'!$B:$B,"&lt;="&amp;$D115)</f>
        <v>8</v>
      </c>
      <c r="G115">
        <f t="shared" si="5"/>
        <v>0</v>
      </c>
      <c r="H115">
        <f>COUNTIFS('מועמדים 2026'!$A:$A,$C115)</f>
        <v>9</v>
      </c>
      <c r="I115" t="str">
        <f t="shared" si="4"/>
        <v/>
      </c>
    </row>
    <row r="116" spans="1:9">
      <c r="A116" t="s">
        <v>31</v>
      </c>
      <c r="B116" t="str">
        <f>INDEX('סקרים לפי ערוץ'!$B:$B,MATCH($A116,'סקרים לפי ערוץ'!$A:$A,0))</f>
        <v>2026-10-12</v>
      </c>
      <c r="C116" t="s">
        <v>12</v>
      </c>
      <c r="D116">
        <f>INDEX('סקרים לפי ערוץ'!G:G,MATCH($A116,'סקרים לפי ערוץ'!$A:$A,0))</f>
        <v>7</v>
      </c>
      <c r="E116">
        <f>COUNTIFS('מועמדים 2026'!$A:$A,$C116,'מועמדים 2026'!$D:$D,"נ",'מועמדים 2026'!$B:$B,"&lt;="&amp;$D116)</f>
        <v>0</v>
      </c>
      <c r="F116">
        <f>COUNTIFS('מועמדים 2026'!$A:$A,$C116,'מועמדים 2026'!$D:$D,"ז",'מועמדים 2026'!$B:$B,"&lt;="&amp;$D116)</f>
        <v>7</v>
      </c>
      <c r="G116">
        <f t="shared" si="5"/>
        <v>0</v>
      </c>
      <c r="H116">
        <f>COUNTIFS('מועמדים 2026'!$A:$A,$C116)</f>
        <v>11</v>
      </c>
      <c r="I116" t="str">
        <f t="shared" si="4"/>
        <v/>
      </c>
    </row>
    <row r="117" spans="1:9">
      <c r="A117" t="s">
        <v>31</v>
      </c>
      <c r="B117" t="str">
        <f>INDEX('סקרים לפי ערוץ'!$B:$B,MATCH($A117,'סקרים לפי ערוץ'!$A:$A,0))</f>
        <v>2026-10-12</v>
      </c>
      <c r="C117" t="s">
        <v>13</v>
      </c>
      <c r="D117">
        <f>INDEX('סקרים לפי ערוץ'!H:H,MATCH($A117,'סקרים לפי ערוץ'!$A:$A,0))</f>
        <v>0</v>
      </c>
      <c r="E117">
        <f>COUNTIFS('מועמדים 2026'!$A:$A,$C117,'מועמדים 2026'!$D:$D,"נ",'מועמדים 2026'!$B:$B,"&lt;="&amp;$D117)</f>
        <v>0</v>
      </c>
      <c r="F117">
        <f>COUNTIFS('מועמדים 2026'!$A:$A,$C117,'מועמדים 2026'!$D:$D,"ז",'מועמדים 2026'!$B:$B,"&lt;="&amp;$D117)</f>
        <v>0</v>
      </c>
      <c r="G117">
        <f t="shared" si="5"/>
        <v>0</v>
      </c>
      <c r="H117">
        <f>COUNTIFS('מועמדים 2026'!$A:$A,$C117)</f>
        <v>5</v>
      </c>
      <c r="I117" t="str">
        <f t="shared" si="4"/>
        <v/>
      </c>
    </row>
    <row r="118" spans="1:9">
      <c r="A118" t="s">
        <v>31</v>
      </c>
      <c r="B118" t="str">
        <f>INDEX('סקרים לפי ערוץ'!$B:$B,MATCH($A118,'סקרים לפי ערוץ'!$A:$A,0))</f>
        <v>2026-10-12</v>
      </c>
      <c r="C118" t="s">
        <v>14</v>
      </c>
      <c r="D118">
        <f>INDEX('סקרים לפי ערוץ'!I:I,MATCH($A118,'סקרים לפי ערוץ'!$A:$A,0))</f>
        <v>8</v>
      </c>
      <c r="E118">
        <f>COUNTIFS('מועמדים 2026'!$A:$A,$C118,'מועמדים 2026'!$D:$D,"נ",'מועמדים 2026'!$B:$B,"&lt;="&amp;$D118)</f>
        <v>1</v>
      </c>
      <c r="F118">
        <f>COUNTIFS('מועמדים 2026'!$A:$A,$C118,'מועמדים 2026'!$D:$D,"ז",'מועמדים 2026'!$B:$B,"&lt;="&amp;$D118)</f>
        <v>7</v>
      </c>
      <c r="G118">
        <f t="shared" si="5"/>
        <v>0.125</v>
      </c>
      <c r="H118">
        <f>COUNTIFS('מועמדים 2026'!$A:$A,$C118)</f>
        <v>10</v>
      </c>
      <c r="I118" t="str">
        <f t="shared" si="4"/>
        <v/>
      </c>
    </row>
    <row r="119" spans="1:9">
      <c r="A119" t="s">
        <v>31</v>
      </c>
      <c r="B119" t="str">
        <f>INDEX('סקרים לפי ערוץ'!$B:$B,MATCH($A119,'סקרים לפי ערוץ'!$A:$A,0))</f>
        <v>2026-10-12</v>
      </c>
      <c r="C119" t="s">
        <v>15</v>
      </c>
      <c r="D119">
        <f>INDEX('סקרים לפי ערוץ'!J:J,MATCH($A119,'סקרים לפי ערוץ'!$A:$A,0))</f>
        <v>9</v>
      </c>
      <c r="E119">
        <f>COUNTIFS('מועמדים 2026'!$A:$A,$C119,'מועמדים 2026'!$D:$D,"נ",'מועמדים 2026'!$B:$B,"&lt;="&amp;$D119)</f>
        <v>3</v>
      </c>
      <c r="F119">
        <f>COUNTIFS('מועמדים 2026'!$A:$A,$C119,'מועמדים 2026'!$D:$D,"ז",'מועמדים 2026'!$B:$B,"&lt;="&amp;$D119)</f>
        <v>6</v>
      </c>
      <c r="G119">
        <f t="shared" si="5"/>
        <v>0.33333333333333331</v>
      </c>
      <c r="H119">
        <f>COUNTIFS('מועמדים 2026'!$A:$A,$C119)</f>
        <v>20</v>
      </c>
      <c r="I119" t="str">
        <f t="shared" si="4"/>
        <v/>
      </c>
    </row>
    <row r="120" spans="1:9">
      <c r="A120" t="s">
        <v>31</v>
      </c>
      <c r="B120" t="str">
        <f>INDEX('סקרים לפי ערוץ'!$B:$B,MATCH($A120,'סקרים לפי ערוץ'!$A:$A,0))</f>
        <v>2026-10-12</v>
      </c>
      <c r="C120" t="s">
        <v>16</v>
      </c>
      <c r="D120">
        <f>INDEX('סקרים לפי ערוץ'!K:K,MATCH($A120,'סקרים לפי ערוץ'!$A:$A,0))</f>
        <v>10</v>
      </c>
      <c r="E120">
        <f>COUNTIFS('מועמדים 2026'!$A:$A,$C120,'מועמדים 2026'!$D:$D,"נ",'מועמדים 2026'!$B:$B,"&lt;="&amp;$D120)</f>
        <v>5</v>
      </c>
      <c r="F120">
        <f>COUNTIFS('מועמדים 2026'!$A:$A,$C120,'מועמדים 2026'!$D:$D,"ז",'מועמדים 2026'!$B:$B,"&lt;="&amp;$D120)</f>
        <v>5</v>
      </c>
      <c r="G120">
        <f t="shared" si="5"/>
        <v>0.5</v>
      </c>
      <c r="H120">
        <f>COUNTIFS('מועמדים 2026'!$A:$A,$C120)</f>
        <v>20</v>
      </c>
      <c r="I120" t="str">
        <f t="shared" si="4"/>
        <v/>
      </c>
    </row>
    <row r="121" spans="1:9">
      <c r="A121" t="s">
        <v>31</v>
      </c>
      <c r="B121" t="str">
        <f>INDEX('סקרים לפי ערוץ'!$B:$B,MATCH($A121,'סקרים לפי ערוץ'!$A:$A,0))</f>
        <v>2026-10-12</v>
      </c>
      <c r="C121" t="s">
        <v>17</v>
      </c>
      <c r="D121">
        <f>INDEX('סקרים לפי ערוץ'!L:L,MATCH($A121,'סקרים לפי ערוץ'!$A:$A,0))</f>
        <v>6</v>
      </c>
      <c r="E121">
        <f>COUNTIFS('מועמדים 2026'!$A:$A,$C121,'מועמדים 2026'!$D:$D,"נ",'מועמדים 2026'!$B:$B,"&lt;="&amp;$D121)</f>
        <v>1</v>
      </c>
      <c r="F121">
        <f>COUNTIFS('מועמדים 2026'!$A:$A,$C121,'מועמדים 2026'!$D:$D,"ז",'מועמדים 2026'!$B:$B,"&lt;="&amp;$D121)</f>
        <v>5</v>
      </c>
      <c r="G121">
        <f t="shared" si="5"/>
        <v>0.16666666666666666</v>
      </c>
      <c r="H121">
        <f>COUNTIFS('מועמדים 2026'!$A:$A,$C121)</f>
        <v>18</v>
      </c>
      <c r="I121" t="str">
        <f t="shared" si="4"/>
        <v/>
      </c>
    </row>
    <row r="122" spans="1:9">
      <c r="A122" t="s">
        <v>31</v>
      </c>
      <c r="B122" t="str">
        <f>INDEX('סקרים לפי ערוץ'!$B:$B,MATCH($A122,'סקרים לפי ערוץ'!$A:$A,0))</f>
        <v>2026-10-12</v>
      </c>
      <c r="C122" t="s">
        <v>18</v>
      </c>
      <c r="D122">
        <f>INDEX('סקרים לפי ערוץ'!M:M,MATCH($A122,'סקרים לפי ערוץ'!$A:$A,0))</f>
        <v>5</v>
      </c>
      <c r="E122">
        <f>COUNTIFS('מועמדים 2026'!$A:$A,$C122,'מועמדים 2026'!$D:$D,"נ",'מועמדים 2026'!$B:$B,"&lt;="&amp;$D122)</f>
        <v>1</v>
      </c>
      <c r="F122">
        <f>COUNTIFS('מועמדים 2026'!$A:$A,$C122,'מועמדים 2026'!$D:$D,"ז",'מועמדים 2026'!$B:$B,"&lt;="&amp;$D122)</f>
        <v>4</v>
      </c>
      <c r="G122">
        <f t="shared" si="5"/>
        <v>0.2</v>
      </c>
      <c r="H122">
        <f>COUNTIFS('מועמדים 2026'!$A:$A,$C122)</f>
        <v>6</v>
      </c>
      <c r="I122" t="str">
        <f t="shared" si="4"/>
        <v/>
      </c>
    </row>
    <row r="123" spans="1:9">
      <c r="A123" t="s">
        <v>31</v>
      </c>
      <c r="B123" t="str">
        <f>INDEX('סקרים לפי ערוץ'!$B:$B,MATCH($A123,'סקרים לפי ערוץ'!$A:$A,0))</f>
        <v>2026-10-12</v>
      </c>
      <c r="C123" t="s">
        <v>19</v>
      </c>
      <c r="D123">
        <f>INDEX('סקרים לפי ערוץ'!N:N,MATCH($A123,'סקרים לפי ערוץ'!$A:$A,0))</f>
        <v>8</v>
      </c>
      <c r="E123">
        <f>COUNTIFS('מועמדים 2026'!$A:$A,$C123,'מועמדים 2026'!$D:$D,"נ",'מועמדים 2026'!$B:$B,"&lt;="&amp;$D123)</f>
        <v>2</v>
      </c>
      <c r="F123">
        <f>COUNTIFS('מועמדים 2026'!$A:$A,$C123,'מועמדים 2026'!$D:$D,"ז",'מועמדים 2026'!$B:$B,"&lt;="&amp;$D123)</f>
        <v>6</v>
      </c>
      <c r="G123">
        <f t="shared" si="5"/>
        <v>0.25</v>
      </c>
      <c r="H123">
        <f>COUNTIFS('מועמדים 2026'!$A:$A,$C123)</f>
        <v>17</v>
      </c>
      <c r="I123" t="str">
        <f t="shared" si="4"/>
        <v/>
      </c>
    </row>
    <row r="124" spans="1:9">
      <c r="A124" t="s">
        <v>31</v>
      </c>
      <c r="B124" t="str">
        <f>INDEX('סקרים לפי ערוץ'!$B:$B,MATCH($A124,'סקרים לפי ערוץ'!$A:$A,0))</f>
        <v>2026-10-12</v>
      </c>
      <c r="C124" t="s">
        <v>20</v>
      </c>
      <c r="D124">
        <f>INDEX('סקרים לפי ערוץ'!O:O,MATCH($A124,'סקרים לפי ערוץ'!$A:$A,0))</f>
        <v>13</v>
      </c>
      <c r="E124">
        <f>COUNTIFS('מועמדים 2026'!$A:$A,$C124,'מועמדים 2026'!$D:$D,"נ",'מועמדים 2026'!$B:$B,"&lt;="&amp;$D124)</f>
        <v>6</v>
      </c>
      <c r="F124">
        <f>COUNTIFS('מועמדים 2026'!$A:$A,$C124,'מועמדים 2026'!$D:$D,"ז",'מועמדים 2026'!$B:$B,"&lt;="&amp;$D124)</f>
        <v>7</v>
      </c>
      <c r="G124">
        <f t="shared" si="5"/>
        <v>0.46153846153846156</v>
      </c>
      <c r="H124">
        <f>COUNTIFS('מועמדים 2026'!$A:$A,$C124)</f>
        <v>26</v>
      </c>
      <c r="I124" t="str">
        <f t="shared" si="4"/>
        <v/>
      </c>
    </row>
    <row r="125" spans="1:9">
      <c r="A125" t="s">
        <v>31</v>
      </c>
      <c r="B125" t="str">
        <f>INDEX('סקרים לפי ערוץ'!$B:$B,MATCH($A125,'סקרים לפי ערוץ'!$A:$A,0))</f>
        <v>2026-10-12</v>
      </c>
      <c r="C125" t="s">
        <v>21</v>
      </c>
      <c r="D125">
        <f>INDEX('סקרים לפי ערוץ'!P:P,MATCH($A125,'סקרים לפי ערוץ'!$A:$A,0))</f>
        <v>22</v>
      </c>
      <c r="E125">
        <f>COUNTIFS('מועמדים 2026'!$A:$A,$C125,'מועמדים 2026'!$D:$D,"נ",'מועמדים 2026'!$B:$B,"&lt;="&amp;$D125)</f>
        <v>11</v>
      </c>
      <c r="F125">
        <f>COUNTIFS('מועמדים 2026'!$A:$A,$C125,'מועמדים 2026'!$D:$D,"ז",'מועמדים 2026'!$B:$B,"&lt;="&amp;$D125)</f>
        <v>11</v>
      </c>
      <c r="G125">
        <f t="shared" si="5"/>
        <v>0.5</v>
      </c>
      <c r="H125">
        <f>COUNTIFS('מועמדים 2026'!$A:$A,$C125)</f>
        <v>40</v>
      </c>
      <c r="I125" t="str">
        <f t="shared" si="4"/>
        <v/>
      </c>
    </row>
    <row r="126" spans="1:9">
      <c r="A126" t="s">
        <v>31</v>
      </c>
      <c r="B126" t="str">
        <f>INDEX('סקרים לפי ערוץ'!$B:$B,MATCH($A126,'סקרים לפי ערוץ'!$A:$A,0))</f>
        <v>2026-10-12</v>
      </c>
      <c r="C126" t="s">
        <v>22</v>
      </c>
      <c r="D126">
        <f>INDEX('סקרים לפי ערוץ'!Q:Q,MATCH($A126,'סקרים לפי ערוץ'!$A:$A,0))</f>
        <v>0</v>
      </c>
      <c r="E126">
        <f>COUNTIFS('מועמדים 2026'!$A:$A,$C126,'מועמדים 2026'!$D:$D,"נ",'מועמדים 2026'!$B:$B,"&lt;="&amp;$D126)</f>
        <v>0</v>
      </c>
      <c r="F126">
        <f>COUNTIFS('מועמדים 2026'!$A:$A,$C126,'מועמדים 2026'!$D:$D,"ז",'מועמדים 2026'!$B:$B,"&lt;="&amp;$D126)</f>
        <v>0</v>
      </c>
      <c r="G126">
        <f t="shared" si="5"/>
        <v>0</v>
      </c>
      <c r="H126">
        <f>COUNTIFS('מועמדים 2026'!$A:$A,$C126)</f>
        <v>11</v>
      </c>
      <c r="I126" t="str">
        <f t="shared" si="4"/>
        <v/>
      </c>
    </row>
    <row r="127" spans="1:9">
      <c r="A127" t="s">
        <v>31</v>
      </c>
      <c r="B127" t="str">
        <f>INDEX('סקרים לפי ערוץ'!$B:$B,MATCH($A127,'סקרים לפי ערוץ'!$A:$A,0))</f>
        <v>2026-10-12</v>
      </c>
      <c r="C127" t="s">
        <v>23</v>
      </c>
      <c r="D127">
        <f>INDEX('סקרים לפי ערוץ'!R:R,MATCH($A127,'סקרים לפי ערוץ'!$A:$A,0))</f>
        <v>4</v>
      </c>
      <c r="E127">
        <f>COUNTIFS('מועמדים 2026'!$A:$A,$C127,'מועמדים 2026'!$D:$D,"נ",'מועמדים 2026'!$B:$B,"&lt;="&amp;$D127)</f>
        <v>1</v>
      </c>
      <c r="F127">
        <f>COUNTIFS('מועמדים 2026'!$A:$A,$C127,'מועמדים 2026'!$D:$D,"ז",'מועמדים 2026'!$B:$B,"&lt;="&amp;$D127)</f>
        <v>3</v>
      </c>
      <c r="G127">
        <f t="shared" si="5"/>
        <v>0.25</v>
      </c>
      <c r="H127">
        <f>COUNTIFS('מועמדים 2026'!$A:$A,$C127)</f>
        <v>20</v>
      </c>
      <c r="I127" t="str">
        <f t="shared" si="4"/>
        <v/>
      </c>
    </row>
    <row r="128" spans="1:9">
      <c r="A128" t="s">
        <v>32</v>
      </c>
      <c r="B128" t="str">
        <f>INDEX('סקרים לפי ערוץ'!$B:$B,MATCH($A128,'סקרים לפי ערוץ'!$A:$A,0))</f>
        <v>2026-10-08</v>
      </c>
      <c r="C128" t="s">
        <v>10</v>
      </c>
      <c r="D128">
        <f>INDEX('סקרים לפי ערוץ'!E:E,MATCH($A128,'סקרים לפי ערוץ'!$A:$A,0))</f>
        <v>26</v>
      </c>
      <c r="E128">
        <f>COUNTIFS('מועמדים 2026'!$A:$A,$C128,'מועמדים 2026'!$D:$D,"נ",'מועמדים 2026'!$B:$B,"&lt;="&amp;$D128)</f>
        <v>4</v>
      </c>
      <c r="F128">
        <f>COUNTIFS('מועמדים 2026'!$A:$A,$C128,'מועמדים 2026'!$D:$D,"ז",'מועמדים 2026'!$B:$B,"&lt;="&amp;$D128)</f>
        <v>22</v>
      </c>
      <c r="G128">
        <f t="shared" si="5"/>
        <v>0.15384615384615385</v>
      </c>
      <c r="H128">
        <f>COUNTIFS('מועמדים 2026'!$A:$A,$C128)</f>
        <v>36</v>
      </c>
      <c r="I128" t="str">
        <f t="shared" si="4"/>
        <v/>
      </c>
    </row>
    <row r="129" spans="1:9">
      <c r="A129" t="s">
        <v>32</v>
      </c>
      <c r="B129" t="str">
        <f>INDEX('סקרים לפי ערוץ'!$B:$B,MATCH($A129,'סקרים לפי ערוץ'!$A:$A,0))</f>
        <v>2026-10-08</v>
      </c>
      <c r="C129" t="s">
        <v>11</v>
      </c>
      <c r="D129">
        <f>INDEX('סקרים לפי ערוץ'!F:F,MATCH($A129,'סקרים לפי ערוץ'!$A:$A,0))</f>
        <v>8</v>
      </c>
      <c r="E129">
        <f>COUNTIFS('מועמדים 2026'!$A:$A,$C129,'מועמדים 2026'!$D:$D,"נ",'מועמדים 2026'!$B:$B,"&lt;="&amp;$D129)</f>
        <v>0</v>
      </c>
      <c r="F129">
        <f>COUNTIFS('מועמדים 2026'!$A:$A,$C129,'מועמדים 2026'!$D:$D,"ז",'מועמדים 2026'!$B:$B,"&lt;="&amp;$D129)</f>
        <v>8</v>
      </c>
      <c r="G129">
        <f t="shared" si="5"/>
        <v>0</v>
      </c>
      <c r="H129">
        <f>COUNTIFS('מועמדים 2026'!$A:$A,$C129)</f>
        <v>9</v>
      </c>
      <c r="I129" t="str">
        <f t="shared" si="4"/>
        <v/>
      </c>
    </row>
    <row r="130" spans="1:9">
      <c r="A130" t="s">
        <v>32</v>
      </c>
      <c r="B130" t="str">
        <f>INDEX('סקרים לפי ערוץ'!$B:$B,MATCH($A130,'סקרים לפי ערוץ'!$A:$A,0))</f>
        <v>2026-10-08</v>
      </c>
      <c r="C130" t="s">
        <v>12</v>
      </c>
      <c r="D130">
        <f>INDEX('סקרים לפי ערוץ'!G:G,MATCH($A130,'סקרים לפי ערוץ'!$A:$A,0))</f>
        <v>7</v>
      </c>
      <c r="E130">
        <f>COUNTIFS('מועמדים 2026'!$A:$A,$C130,'מועמדים 2026'!$D:$D,"נ",'מועמדים 2026'!$B:$B,"&lt;="&amp;$D130)</f>
        <v>0</v>
      </c>
      <c r="F130">
        <f>COUNTIFS('מועמדים 2026'!$A:$A,$C130,'מועמדים 2026'!$D:$D,"ז",'מועמדים 2026'!$B:$B,"&lt;="&amp;$D130)</f>
        <v>7</v>
      </c>
      <c r="G130">
        <f t="shared" ref="G130:G141" si="6">IF($D130=0,0,$E130/$D130)</f>
        <v>0</v>
      </c>
      <c r="H130">
        <f>COUNTIFS('מועמדים 2026'!$A:$A,$C130)</f>
        <v>11</v>
      </c>
      <c r="I130" t="str">
        <f t="shared" si="4"/>
        <v/>
      </c>
    </row>
    <row r="131" spans="1:9">
      <c r="A131" t="s">
        <v>32</v>
      </c>
      <c r="B131" t="str">
        <f>INDEX('סקרים לפי ערוץ'!$B:$B,MATCH($A131,'סקרים לפי ערוץ'!$A:$A,0))</f>
        <v>2026-10-08</v>
      </c>
      <c r="C131" t="s">
        <v>13</v>
      </c>
      <c r="D131">
        <f>INDEX('סקרים לפי ערוץ'!H:H,MATCH($A131,'סקרים לפי ערוץ'!$A:$A,0))</f>
        <v>0</v>
      </c>
      <c r="E131">
        <f>COUNTIFS('מועמדים 2026'!$A:$A,$C131,'מועמדים 2026'!$D:$D,"נ",'מועמדים 2026'!$B:$B,"&lt;="&amp;$D131)</f>
        <v>0</v>
      </c>
      <c r="F131">
        <f>COUNTIFS('מועמדים 2026'!$A:$A,$C131,'מועמדים 2026'!$D:$D,"ז",'מועמדים 2026'!$B:$B,"&lt;="&amp;$D131)</f>
        <v>0</v>
      </c>
      <c r="G131">
        <f t="shared" si="6"/>
        <v>0</v>
      </c>
      <c r="H131">
        <f>COUNTIFS('מועמדים 2026'!$A:$A,$C131)</f>
        <v>5</v>
      </c>
      <c r="I131" t="str">
        <f t="shared" ref="I131:I141" si="7">IF(AND($D131&gt;0,$H131=0),"אין נתוני מועמדים לחישוב",IF(D131&gt;H131,"חסרים מועמדים ברשימה",""))</f>
        <v/>
      </c>
    </row>
    <row r="132" spans="1:9">
      <c r="A132" t="s">
        <v>32</v>
      </c>
      <c r="B132" t="str">
        <f>INDEX('סקרים לפי ערוץ'!$B:$B,MATCH($A132,'סקרים לפי ערוץ'!$A:$A,0))</f>
        <v>2026-10-08</v>
      </c>
      <c r="C132" t="s">
        <v>14</v>
      </c>
      <c r="D132">
        <f>INDEX('סקרים לפי ערוץ'!I:I,MATCH($A132,'סקרים לפי ערוץ'!$A:$A,0))</f>
        <v>7</v>
      </c>
      <c r="E132">
        <f>COUNTIFS('מועמדים 2026'!$A:$A,$C132,'מועמדים 2026'!$D:$D,"נ",'מועמדים 2026'!$B:$B,"&lt;="&amp;$D132)</f>
        <v>1</v>
      </c>
      <c r="F132">
        <f>COUNTIFS('מועמדים 2026'!$A:$A,$C132,'מועמדים 2026'!$D:$D,"ז",'מועמדים 2026'!$B:$B,"&lt;="&amp;$D132)</f>
        <v>6</v>
      </c>
      <c r="G132">
        <f t="shared" si="6"/>
        <v>0.14285714285714285</v>
      </c>
      <c r="H132">
        <f>COUNTIFS('מועמדים 2026'!$A:$A,$C132)</f>
        <v>10</v>
      </c>
      <c r="I132" t="str">
        <f t="shared" si="7"/>
        <v/>
      </c>
    </row>
    <row r="133" spans="1:9">
      <c r="A133" t="s">
        <v>32</v>
      </c>
      <c r="B133" t="str">
        <f>INDEX('סקרים לפי ערוץ'!$B:$B,MATCH($A133,'סקרים לפי ערוץ'!$A:$A,0))</f>
        <v>2026-10-08</v>
      </c>
      <c r="C133" t="s">
        <v>15</v>
      </c>
      <c r="D133">
        <f>INDEX('סקרים לפי ערוץ'!J:J,MATCH($A133,'סקרים לפי ערוץ'!$A:$A,0))</f>
        <v>7</v>
      </c>
      <c r="E133">
        <f>COUNTIFS('מועמדים 2026'!$A:$A,$C133,'מועמדים 2026'!$D:$D,"נ",'מועמדים 2026'!$B:$B,"&lt;="&amp;$D133)</f>
        <v>2</v>
      </c>
      <c r="F133">
        <f>COUNTIFS('מועמדים 2026'!$A:$A,$C133,'מועמדים 2026'!$D:$D,"ז",'מועמדים 2026'!$B:$B,"&lt;="&amp;$D133)</f>
        <v>5</v>
      </c>
      <c r="G133">
        <f t="shared" si="6"/>
        <v>0.2857142857142857</v>
      </c>
      <c r="H133">
        <f>COUNTIFS('מועמדים 2026'!$A:$A,$C133)</f>
        <v>20</v>
      </c>
      <c r="I133" t="str">
        <f t="shared" si="7"/>
        <v/>
      </c>
    </row>
    <row r="134" spans="1:9">
      <c r="A134" t="s">
        <v>32</v>
      </c>
      <c r="B134" t="str">
        <f>INDEX('סקרים לפי ערוץ'!$B:$B,MATCH($A134,'סקרים לפי ערוץ'!$A:$A,0))</f>
        <v>2026-10-08</v>
      </c>
      <c r="C134" t="s">
        <v>16</v>
      </c>
      <c r="D134">
        <f>INDEX('סקרים לפי ערוץ'!K:K,MATCH($A134,'סקרים לפי ערוץ'!$A:$A,0))</f>
        <v>10</v>
      </c>
      <c r="E134">
        <f>COUNTIFS('מועמדים 2026'!$A:$A,$C134,'מועמדים 2026'!$D:$D,"נ",'מועמדים 2026'!$B:$B,"&lt;="&amp;$D134)</f>
        <v>5</v>
      </c>
      <c r="F134">
        <f>COUNTIFS('מועמדים 2026'!$A:$A,$C134,'מועמדים 2026'!$D:$D,"ז",'מועמדים 2026'!$B:$B,"&lt;="&amp;$D134)</f>
        <v>5</v>
      </c>
      <c r="G134">
        <f t="shared" si="6"/>
        <v>0.5</v>
      </c>
      <c r="H134">
        <f>COUNTIFS('מועמדים 2026'!$A:$A,$C134)</f>
        <v>20</v>
      </c>
      <c r="I134" t="str">
        <f t="shared" si="7"/>
        <v/>
      </c>
    </row>
    <row r="135" spans="1:9">
      <c r="A135" t="s">
        <v>32</v>
      </c>
      <c r="B135" t="str">
        <f>INDEX('סקרים לפי ערוץ'!$B:$B,MATCH($A135,'סקרים לפי ערוץ'!$A:$A,0))</f>
        <v>2026-10-08</v>
      </c>
      <c r="C135" t="s">
        <v>17</v>
      </c>
      <c r="D135">
        <f>INDEX('סקרים לפי ערוץ'!L:L,MATCH($A135,'סקרים לפי ערוץ'!$A:$A,0))</f>
        <v>6</v>
      </c>
      <c r="E135">
        <f>COUNTIFS('מועמדים 2026'!$A:$A,$C135,'מועמדים 2026'!$D:$D,"נ",'מועמדים 2026'!$B:$B,"&lt;="&amp;$D135)</f>
        <v>1</v>
      </c>
      <c r="F135">
        <f>COUNTIFS('מועמדים 2026'!$A:$A,$C135,'מועמדים 2026'!$D:$D,"ז",'מועמדים 2026'!$B:$B,"&lt;="&amp;$D135)</f>
        <v>5</v>
      </c>
      <c r="G135">
        <f t="shared" si="6"/>
        <v>0.16666666666666666</v>
      </c>
      <c r="H135">
        <f>COUNTIFS('מועמדים 2026'!$A:$A,$C135)</f>
        <v>18</v>
      </c>
      <c r="I135" t="str">
        <f t="shared" si="7"/>
        <v/>
      </c>
    </row>
    <row r="136" spans="1:9">
      <c r="A136" t="s">
        <v>32</v>
      </c>
      <c r="B136" t="str">
        <f>INDEX('סקרים לפי ערוץ'!$B:$B,MATCH($A136,'סקרים לפי ערוץ'!$A:$A,0))</f>
        <v>2026-10-08</v>
      </c>
      <c r="C136" t="s">
        <v>18</v>
      </c>
      <c r="D136">
        <f>INDEX('סקרים לפי ערוץ'!M:M,MATCH($A136,'סקרים לפי ערוץ'!$A:$A,0))</f>
        <v>5</v>
      </c>
      <c r="E136">
        <f>COUNTIFS('מועמדים 2026'!$A:$A,$C136,'מועמדים 2026'!$D:$D,"נ",'מועמדים 2026'!$B:$B,"&lt;="&amp;$D136)</f>
        <v>1</v>
      </c>
      <c r="F136">
        <f>COUNTIFS('מועמדים 2026'!$A:$A,$C136,'מועמדים 2026'!$D:$D,"ז",'מועמדים 2026'!$B:$B,"&lt;="&amp;$D136)</f>
        <v>4</v>
      </c>
      <c r="G136">
        <f t="shared" si="6"/>
        <v>0.2</v>
      </c>
      <c r="H136">
        <f>COUNTIFS('מועמדים 2026'!$A:$A,$C136)</f>
        <v>6</v>
      </c>
      <c r="I136" t="str">
        <f t="shared" si="7"/>
        <v/>
      </c>
    </row>
    <row r="137" spans="1:9">
      <c r="A137" t="s">
        <v>32</v>
      </c>
      <c r="B137" t="str">
        <f>INDEX('סקרים לפי ערוץ'!$B:$B,MATCH($A137,'סקרים לפי ערוץ'!$A:$A,0))</f>
        <v>2026-10-08</v>
      </c>
      <c r="C137" t="s">
        <v>19</v>
      </c>
      <c r="D137">
        <f>INDEX('סקרים לפי ערוץ'!N:N,MATCH($A137,'סקרים לפי ערוץ'!$A:$A,0))</f>
        <v>9</v>
      </c>
      <c r="E137">
        <f>COUNTIFS('מועמדים 2026'!$A:$A,$C137,'מועמדים 2026'!$D:$D,"נ",'מועמדים 2026'!$B:$B,"&lt;="&amp;$D137)</f>
        <v>2</v>
      </c>
      <c r="F137">
        <f>COUNTIFS('מועמדים 2026'!$A:$A,$C137,'מועמדים 2026'!$D:$D,"ז",'מועמדים 2026'!$B:$B,"&lt;="&amp;$D137)</f>
        <v>7</v>
      </c>
      <c r="G137">
        <f t="shared" si="6"/>
        <v>0.22222222222222221</v>
      </c>
      <c r="H137">
        <f>COUNTIFS('מועמדים 2026'!$A:$A,$C137)</f>
        <v>17</v>
      </c>
      <c r="I137" t="str">
        <f t="shared" si="7"/>
        <v/>
      </c>
    </row>
    <row r="138" spans="1:9">
      <c r="A138" t="s">
        <v>32</v>
      </c>
      <c r="B138" t="str">
        <f>INDEX('סקרים לפי ערוץ'!$B:$B,MATCH($A138,'סקרים לפי ערוץ'!$A:$A,0))</f>
        <v>2026-10-08</v>
      </c>
      <c r="C138" t="s">
        <v>20</v>
      </c>
      <c r="D138">
        <f>INDEX('סקרים לפי ערוץ'!O:O,MATCH($A138,'סקרים לפי ערוץ'!$A:$A,0))</f>
        <v>11</v>
      </c>
      <c r="E138">
        <f>COUNTIFS('מועמדים 2026'!$A:$A,$C138,'מועמדים 2026'!$D:$D,"נ",'מועמדים 2026'!$B:$B,"&lt;="&amp;$D138)</f>
        <v>6</v>
      </c>
      <c r="F138">
        <f>COUNTIFS('מועמדים 2026'!$A:$A,$C138,'מועמדים 2026'!$D:$D,"ז",'מועמדים 2026'!$B:$B,"&lt;="&amp;$D138)</f>
        <v>5</v>
      </c>
      <c r="G138">
        <f t="shared" si="6"/>
        <v>0.54545454545454541</v>
      </c>
      <c r="H138">
        <f>COUNTIFS('מועמדים 2026'!$A:$A,$C138)</f>
        <v>26</v>
      </c>
      <c r="I138" t="str">
        <f t="shared" si="7"/>
        <v/>
      </c>
    </row>
    <row r="139" spans="1:9">
      <c r="A139" t="s">
        <v>32</v>
      </c>
      <c r="B139" t="str">
        <f>INDEX('סקרים לפי ערוץ'!$B:$B,MATCH($A139,'סקרים לפי ערוץ'!$A:$A,0))</f>
        <v>2026-10-08</v>
      </c>
      <c r="C139" t="s">
        <v>21</v>
      </c>
      <c r="D139">
        <f>INDEX('סקרים לפי ערוץ'!P:P,MATCH($A139,'סקרים לפי ערוץ'!$A:$A,0))</f>
        <v>20</v>
      </c>
      <c r="E139">
        <f>COUNTIFS('מועמדים 2026'!$A:$A,$C139,'מועמדים 2026'!$D:$D,"נ",'מועמדים 2026'!$B:$B,"&lt;="&amp;$D139)</f>
        <v>10</v>
      </c>
      <c r="F139">
        <f>COUNTIFS('מועמדים 2026'!$A:$A,$C139,'מועמדים 2026'!$D:$D,"ז",'מועמדים 2026'!$B:$B,"&lt;="&amp;$D139)</f>
        <v>10</v>
      </c>
      <c r="G139">
        <f t="shared" si="6"/>
        <v>0.5</v>
      </c>
      <c r="H139">
        <f>COUNTIFS('מועמדים 2026'!$A:$A,$C139)</f>
        <v>40</v>
      </c>
      <c r="I139" t="str">
        <f t="shared" si="7"/>
        <v/>
      </c>
    </row>
    <row r="140" spans="1:9">
      <c r="A140" t="s">
        <v>32</v>
      </c>
      <c r="B140" t="str">
        <f>INDEX('סקרים לפי ערוץ'!$B:$B,MATCH($A140,'סקרים לפי ערוץ'!$A:$A,0))</f>
        <v>2026-10-08</v>
      </c>
      <c r="C140" t="s">
        <v>22</v>
      </c>
      <c r="D140">
        <f>INDEX('סקרים לפי ערוץ'!Q:Q,MATCH($A140,'סקרים לפי ערוץ'!$A:$A,0))</f>
        <v>4</v>
      </c>
      <c r="E140">
        <f>COUNTIFS('מועמדים 2026'!$A:$A,$C140,'מועמדים 2026'!$D:$D,"נ",'מועמדים 2026'!$B:$B,"&lt;="&amp;$D140)</f>
        <v>1</v>
      </c>
      <c r="F140">
        <f>COUNTIFS('מועמדים 2026'!$A:$A,$C140,'מועמדים 2026'!$D:$D,"ז",'מועמדים 2026'!$B:$B,"&lt;="&amp;$D140)</f>
        <v>3</v>
      </c>
      <c r="G140">
        <f t="shared" si="6"/>
        <v>0.25</v>
      </c>
      <c r="H140">
        <f>COUNTIFS('מועמדים 2026'!$A:$A,$C140)</f>
        <v>11</v>
      </c>
      <c r="I140" t="str">
        <f t="shared" si="7"/>
        <v/>
      </c>
    </row>
    <row r="141" spans="1:9">
      <c r="A141" t="s">
        <v>32</v>
      </c>
      <c r="B141" t="str">
        <f>INDEX('סקרים לפי ערוץ'!$B:$B,MATCH($A141,'סקרים לפי ערוץ'!$A:$A,0))</f>
        <v>2026-10-08</v>
      </c>
      <c r="C141" t="s">
        <v>23</v>
      </c>
      <c r="D141">
        <f>INDEX('סקרים לפי ערוץ'!R:R,MATCH($A141,'סקרים לפי ערוץ'!$A:$A,0))</f>
        <v>0</v>
      </c>
      <c r="E141">
        <f>COUNTIFS('מועמדים 2026'!$A:$A,$C141,'מועמדים 2026'!$D:$D,"נ",'מועמדים 2026'!$B:$B,"&lt;="&amp;$D141)</f>
        <v>0</v>
      </c>
      <c r="F141">
        <f>COUNTIFS('מועמדים 2026'!$A:$A,$C141,'מועמדים 2026'!$D:$D,"ז",'מועמדים 2026'!$B:$B,"&lt;="&amp;$D141)</f>
        <v>0</v>
      </c>
      <c r="G141">
        <f t="shared" si="6"/>
        <v>0</v>
      </c>
      <c r="H141">
        <f>COUNTIFS('מועמדים 2026'!$A:$A,$C141)</f>
        <v>20</v>
      </c>
      <c r="I141" t="str">
        <f t="shared" si="7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כל הרשימות</vt:lpstr>
      <vt:lpstr>מסונן</vt:lpstr>
      <vt:lpstr>Sheet1</vt:lpstr>
      <vt:lpstr>חישוב</vt:lpstr>
      <vt:lpstr>סקר 2026</vt:lpstr>
      <vt:lpstr>מועמדים 2026</vt:lpstr>
      <vt:lpstr>חישוב 2026</vt:lpstr>
      <vt:lpstr>סקרים לפי ערוץ</vt:lpstr>
      <vt:lpstr>חישוב לפי ערוץ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einat Sitbon</dc:creator>
  <cp:lastModifiedBy>einat Sitbon</cp:lastModifiedBy>
  <cp:revision>0</cp:revision>
  <dcterms:created xsi:type="dcterms:W3CDTF">2025-06-09T18:31:39Z</dcterms:created>
  <dcterms:modified xsi:type="dcterms:W3CDTF">2026-10-19T14:01:39Z</dcterms:modified>
  <dc:language>en-US</dc:language>
</cp:coreProperties>
</file>