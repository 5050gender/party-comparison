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DDE4DB27-341E-4EE0-93BB-DD3854E47DEF}" xr6:coauthVersionLast="47" xr6:coauthVersionMax="47" xr10:uidLastSave="{00000000-0000-0000-0000-000000000000}"/>
  <bookViews>
    <workbookView xWindow="4305" yWindow="3615" windowWidth="21510" windowHeight="11295" tabRatio="500" firstSheet="5" activeTab="6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G16" i="7"/>
  <c r="I16" i="7" s="1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9" i="5"/>
  <c r="D19" i="5" s="1"/>
  <c r="D18" i="5"/>
  <c r="B15" i="7" s="1"/>
  <c r="C18" i="5"/>
  <c r="C17" i="5"/>
  <c r="D17" i="5" s="1"/>
  <c r="B14" i="7" s="1"/>
  <c r="C16" i="5"/>
  <c r="D16" i="5" s="1"/>
  <c r="B13" i="7" s="1"/>
  <c r="D15" i="5"/>
  <c r="C15" i="5"/>
  <c r="C14" i="5"/>
  <c r="D14" i="5" s="1"/>
  <c r="C13" i="5"/>
  <c r="D13" i="5" s="1"/>
  <c r="D12" i="5"/>
  <c r="B12" i="7" s="1"/>
  <c r="C12" i="5"/>
  <c r="C11" i="5"/>
  <c r="D11" i="5" s="1"/>
  <c r="B11" i="7" s="1"/>
  <c r="D10" i="5"/>
  <c r="B10" i="7" s="1"/>
  <c r="C10" i="5"/>
  <c r="C9" i="5"/>
  <c r="D9" i="5" s="1"/>
  <c r="B9" i="7" s="1"/>
  <c r="C8" i="5"/>
  <c r="D8" i="5" s="1"/>
  <c r="B8" i="7" s="1"/>
  <c r="D7" i="5"/>
  <c r="B7" i="7" s="1"/>
  <c r="C7" i="5"/>
  <c r="C6" i="5"/>
  <c r="D6" i="5" s="1"/>
  <c r="B6" i="7" s="1"/>
  <c r="C5" i="5"/>
  <c r="D5" i="5" s="1"/>
  <c r="B5" i="7" s="1"/>
  <c r="D4" i="5"/>
  <c r="B4" i="7" s="1"/>
  <c r="C4" i="5"/>
  <c r="C3" i="5"/>
  <c r="D3" i="5" s="1"/>
  <c r="B3" i="7" s="1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41" i="9"/>
  <c r="D141" i="9"/>
  <c r="B141" i="9"/>
  <c r="H140" i="9"/>
  <c r="D140" i="9"/>
  <c r="B140" i="9"/>
  <c r="H139" i="9"/>
  <c r="D139" i="9"/>
  <c r="I139" i="9" s="1"/>
  <c r="B139" i="9"/>
  <c r="H138" i="9"/>
  <c r="D138" i="9"/>
  <c r="I138" i="9" s="1"/>
  <c r="B138" i="9"/>
  <c r="H137" i="9"/>
  <c r="D137" i="9"/>
  <c r="I137" i="9" s="1"/>
  <c r="B137" i="9"/>
  <c r="H136" i="9"/>
  <c r="D136" i="9"/>
  <c r="I136" i="9" s="1"/>
  <c r="B136" i="9"/>
  <c r="H135" i="9"/>
  <c r="F135" i="9"/>
  <c r="D135" i="9"/>
  <c r="I135" i="9" s="1"/>
  <c r="B135" i="9"/>
  <c r="H134" i="9"/>
  <c r="D134" i="9"/>
  <c r="I134" i="9" s="1"/>
  <c r="B134" i="9"/>
  <c r="H133" i="9"/>
  <c r="D133" i="9"/>
  <c r="I133" i="9" s="1"/>
  <c r="B133" i="9"/>
  <c r="H132" i="9"/>
  <c r="E132" i="9"/>
  <c r="D132" i="9"/>
  <c r="I132" i="9" s="1"/>
  <c r="B132" i="9"/>
  <c r="H131" i="9"/>
  <c r="F131" i="9"/>
  <c r="D131" i="9"/>
  <c r="I131" i="9" s="1"/>
  <c r="B131" i="9"/>
  <c r="H130" i="9"/>
  <c r="D130" i="9"/>
  <c r="I130" i="9" s="1"/>
  <c r="B130" i="9"/>
  <c r="H129" i="9"/>
  <c r="D129" i="9"/>
  <c r="I129" i="9" s="1"/>
  <c r="B129" i="9"/>
  <c r="H128" i="9"/>
  <c r="D128" i="9"/>
  <c r="B128" i="9"/>
  <c r="H127" i="9"/>
  <c r="D127" i="9"/>
  <c r="F127" i="9" s="1"/>
  <c r="B127" i="9"/>
  <c r="H126" i="9"/>
  <c r="D126" i="9"/>
  <c r="I126" i="9" s="1"/>
  <c r="B126" i="9"/>
  <c r="H125" i="9"/>
  <c r="D125" i="9"/>
  <c r="B125" i="9"/>
  <c r="H124" i="9"/>
  <c r="D124" i="9"/>
  <c r="I124" i="9" s="1"/>
  <c r="B124" i="9"/>
  <c r="H123" i="9"/>
  <c r="D123" i="9"/>
  <c r="I123" i="9" s="1"/>
  <c r="B123" i="9"/>
  <c r="H122" i="9"/>
  <c r="D122" i="9"/>
  <c r="I122" i="9" s="1"/>
  <c r="B122" i="9"/>
  <c r="H121" i="9"/>
  <c r="D121" i="9"/>
  <c r="I121" i="9" s="1"/>
  <c r="B121" i="9"/>
  <c r="H120" i="9"/>
  <c r="D120" i="9"/>
  <c r="B120" i="9"/>
  <c r="H119" i="9"/>
  <c r="D119" i="9"/>
  <c r="I119" i="9" s="1"/>
  <c r="B119" i="9"/>
  <c r="H118" i="9"/>
  <c r="D118" i="9"/>
  <c r="I118" i="9" s="1"/>
  <c r="B118" i="9"/>
  <c r="H117" i="9"/>
  <c r="D117" i="9"/>
  <c r="I117" i="9" s="1"/>
  <c r="B117" i="9"/>
  <c r="H116" i="9"/>
  <c r="D116" i="9"/>
  <c r="I116" i="9" s="1"/>
  <c r="B116" i="9"/>
  <c r="H115" i="9"/>
  <c r="F115" i="9"/>
  <c r="D115" i="9"/>
  <c r="I115" i="9" s="1"/>
  <c r="B115" i="9"/>
  <c r="H114" i="9"/>
  <c r="F114" i="9"/>
  <c r="E114" i="9"/>
  <c r="G114" i="9" s="1"/>
  <c r="D114" i="9"/>
  <c r="I114" i="9" s="1"/>
  <c r="B114" i="9"/>
  <c r="H113" i="9"/>
  <c r="D113" i="9"/>
  <c r="I113" i="9" s="1"/>
  <c r="B113" i="9"/>
  <c r="H112" i="9"/>
  <c r="D112" i="9"/>
  <c r="B112" i="9"/>
  <c r="H111" i="9"/>
  <c r="F111" i="9"/>
  <c r="D111" i="9"/>
  <c r="B111" i="9"/>
  <c r="H110" i="9"/>
  <c r="F110" i="9"/>
  <c r="E110" i="9"/>
  <c r="G110" i="9" s="1"/>
  <c r="D110" i="9"/>
  <c r="I110" i="9" s="1"/>
  <c r="B110" i="9"/>
  <c r="H109" i="9"/>
  <c r="D109" i="9"/>
  <c r="I109" i="9" s="1"/>
  <c r="B109" i="9"/>
  <c r="H108" i="9"/>
  <c r="D108" i="9"/>
  <c r="I108" i="9" s="1"/>
  <c r="B108" i="9"/>
  <c r="H107" i="9"/>
  <c r="D107" i="9"/>
  <c r="I107" i="9" s="1"/>
  <c r="B107" i="9"/>
  <c r="H106" i="9"/>
  <c r="D106" i="9"/>
  <c r="I106" i="9" s="1"/>
  <c r="B106" i="9"/>
  <c r="H105" i="9"/>
  <c r="D105" i="9"/>
  <c r="I105" i="9" s="1"/>
  <c r="B105" i="9"/>
  <c r="H104" i="9"/>
  <c r="D104" i="9"/>
  <c r="B104" i="9"/>
  <c r="H103" i="9"/>
  <c r="D103" i="9"/>
  <c r="I103" i="9" s="1"/>
  <c r="B103" i="9"/>
  <c r="H102" i="9"/>
  <c r="D102" i="9"/>
  <c r="I102" i="9" s="1"/>
  <c r="B102" i="9"/>
  <c r="H101" i="9"/>
  <c r="D101" i="9"/>
  <c r="I101" i="9" s="1"/>
  <c r="B101" i="9"/>
  <c r="H100" i="9"/>
  <c r="D100" i="9"/>
  <c r="I100" i="9" s="1"/>
  <c r="B100" i="9"/>
  <c r="H99" i="9"/>
  <c r="D99" i="9"/>
  <c r="I99" i="9" s="1"/>
  <c r="B99" i="9"/>
  <c r="H98" i="9"/>
  <c r="D98" i="9"/>
  <c r="I98" i="9" s="1"/>
  <c r="B98" i="9"/>
  <c r="H97" i="9"/>
  <c r="D97" i="9"/>
  <c r="I97" i="9" s="1"/>
  <c r="B97" i="9"/>
  <c r="H96" i="9"/>
  <c r="D96" i="9"/>
  <c r="I96" i="9" s="1"/>
  <c r="B96" i="9"/>
  <c r="H95" i="9"/>
  <c r="F95" i="9"/>
  <c r="D95" i="9"/>
  <c r="B95" i="9"/>
  <c r="H94" i="9"/>
  <c r="D94" i="9"/>
  <c r="I94" i="9" s="1"/>
  <c r="B94" i="9"/>
  <c r="H93" i="9"/>
  <c r="D93" i="9"/>
  <c r="B93" i="9"/>
  <c r="H92" i="9"/>
  <c r="D92" i="9"/>
  <c r="I92" i="9" s="1"/>
  <c r="B92" i="9"/>
  <c r="H91" i="9"/>
  <c r="D91" i="9"/>
  <c r="I91" i="9" s="1"/>
  <c r="B91" i="9"/>
  <c r="H90" i="9"/>
  <c r="F90" i="9"/>
  <c r="D90" i="9"/>
  <c r="I90" i="9" s="1"/>
  <c r="B90" i="9"/>
  <c r="H89" i="9"/>
  <c r="D89" i="9"/>
  <c r="I89" i="9" s="1"/>
  <c r="B89" i="9"/>
  <c r="H88" i="9"/>
  <c r="D88" i="9"/>
  <c r="B88" i="9"/>
  <c r="H87" i="9"/>
  <c r="F87" i="9"/>
  <c r="D87" i="9"/>
  <c r="I87" i="9" s="1"/>
  <c r="B87" i="9"/>
  <c r="H86" i="9"/>
  <c r="E86" i="9"/>
  <c r="G86" i="9" s="1"/>
  <c r="D86" i="9"/>
  <c r="I86" i="9" s="1"/>
  <c r="B86" i="9"/>
  <c r="H85" i="9"/>
  <c r="D85" i="9"/>
  <c r="I85" i="9" s="1"/>
  <c r="B85" i="9"/>
  <c r="H84" i="9"/>
  <c r="D84" i="9"/>
  <c r="I84" i="9" s="1"/>
  <c r="B84" i="9"/>
  <c r="H83" i="9"/>
  <c r="D83" i="9"/>
  <c r="I83" i="9" s="1"/>
  <c r="B83" i="9"/>
  <c r="H82" i="9"/>
  <c r="D82" i="9"/>
  <c r="I82" i="9" s="1"/>
  <c r="B82" i="9"/>
  <c r="H81" i="9"/>
  <c r="D81" i="9"/>
  <c r="I81" i="9" s="1"/>
  <c r="B81" i="9"/>
  <c r="H80" i="9"/>
  <c r="D80" i="9"/>
  <c r="I80" i="9" s="1"/>
  <c r="B80" i="9"/>
  <c r="H79" i="9"/>
  <c r="D79" i="9"/>
  <c r="B79" i="9"/>
  <c r="H78" i="9"/>
  <c r="F78" i="9"/>
  <c r="D78" i="9"/>
  <c r="I78" i="9" s="1"/>
  <c r="B78" i="9"/>
  <c r="H77" i="9"/>
  <c r="D77" i="9"/>
  <c r="I77" i="9" s="1"/>
  <c r="B77" i="9"/>
  <c r="H76" i="9"/>
  <c r="D76" i="9"/>
  <c r="I76" i="9" s="1"/>
  <c r="B76" i="9"/>
  <c r="H75" i="9"/>
  <c r="F75" i="9"/>
  <c r="D75" i="9"/>
  <c r="I75" i="9" s="1"/>
  <c r="B75" i="9"/>
  <c r="H74" i="9"/>
  <c r="F74" i="9"/>
  <c r="E74" i="9"/>
  <c r="G74" i="9" s="1"/>
  <c r="D74" i="9"/>
  <c r="I74" i="9" s="1"/>
  <c r="B74" i="9"/>
  <c r="H73" i="9"/>
  <c r="D73" i="9"/>
  <c r="I73" i="9" s="1"/>
  <c r="B73" i="9"/>
  <c r="H72" i="9"/>
  <c r="D72" i="9"/>
  <c r="B72" i="9"/>
  <c r="H71" i="9"/>
  <c r="D71" i="9"/>
  <c r="I71" i="9" s="1"/>
  <c r="B71" i="9"/>
  <c r="H70" i="9"/>
  <c r="G70" i="9"/>
  <c r="F70" i="9"/>
  <c r="E70" i="9"/>
  <c r="D70" i="9"/>
  <c r="I70" i="9" s="1"/>
  <c r="B70" i="9"/>
  <c r="H69" i="9"/>
  <c r="D69" i="9"/>
  <c r="I69" i="9" s="1"/>
  <c r="B69" i="9"/>
  <c r="H68" i="9"/>
  <c r="D68" i="9"/>
  <c r="I68" i="9" s="1"/>
  <c r="B68" i="9"/>
  <c r="H67" i="9"/>
  <c r="D67" i="9"/>
  <c r="I67" i="9" s="1"/>
  <c r="B67" i="9"/>
  <c r="H66" i="9"/>
  <c r="D66" i="9"/>
  <c r="I66" i="9" s="1"/>
  <c r="B66" i="9"/>
  <c r="H65" i="9"/>
  <c r="D65" i="9"/>
  <c r="I65" i="9" s="1"/>
  <c r="B65" i="9"/>
  <c r="H64" i="9"/>
  <c r="D64" i="9"/>
  <c r="I64" i="9" s="1"/>
  <c r="B64" i="9"/>
  <c r="H63" i="9"/>
  <c r="D63" i="9"/>
  <c r="B63" i="9"/>
  <c r="H62" i="9"/>
  <c r="D62" i="9"/>
  <c r="I62" i="9" s="1"/>
  <c r="B62" i="9"/>
  <c r="H61" i="9"/>
  <c r="D61" i="9"/>
  <c r="I61" i="9" s="1"/>
  <c r="B61" i="9"/>
  <c r="H60" i="9"/>
  <c r="D60" i="9"/>
  <c r="I60" i="9" s="1"/>
  <c r="B60" i="9"/>
  <c r="H59" i="9"/>
  <c r="F59" i="9"/>
  <c r="D59" i="9"/>
  <c r="I59" i="9" s="1"/>
  <c r="B59" i="9"/>
  <c r="H58" i="9"/>
  <c r="D58" i="9"/>
  <c r="I58" i="9" s="1"/>
  <c r="B58" i="9"/>
  <c r="H57" i="9"/>
  <c r="D57" i="9"/>
  <c r="I57" i="9" s="1"/>
  <c r="B57" i="9"/>
  <c r="H56" i="9"/>
  <c r="D56" i="9"/>
  <c r="B56" i="9"/>
  <c r="H55" i="9"/>
  <c r="F55" i="9"/>
  <c r="D55" i="9"/>
  <c r="I55" i="9" s="1"/>
  <c r="B55" i="9"/>
  <c r="H54" i="9"/>
  <c r="D54" i="9"/>
  <c r="I54" i="9" s="1"/>
  <c r="B54" i="9"/>
  <c r="H53" i="9"/>
  <c r="D53" i="9"/>
  <c r="I53" i="9" s="1"/>
  <c r="B53" i="9"/>
  <c r="H52" i="9"/>
  <c r="D52" i="9"/>
  <c r="I52" i="9" s="1"/>
  <c r="B52" i="9"/>
  <c r="H51" i="9"/>
  <c r="D51" i="9"/>
  <c r="I51" i="9" s="1"/>
  <c r="B51" i="9"/>
  <c r="H50" i="9"/>
  <c r="F50" i="9"/>
  <c r="D50" i="9"/>
  <c r="I50" i="9" s="1"/>
  <c r="B50" i="9"/>
  <c r="H49" i="9"/>
  <c r="D49" i="9"/>
  <c r="I49" i="9" s="1"/>
  <c r="B49" i="9"/>
  <c r="H48" i="9"/>
  <c r="D48" i="9"/>
  <c r="I48" i="9" s="1"/>
  <c r="B48" i="9"/>
  <c r="H47" i="9"/>
  <c r="D47" i="9"/>
  <c r="B47" i="9"/>
  <c r="H46" i="9"/>
  <c r="F46" i="9"/>
  <c r="D46" i="9"/>
  <c r="I46" i="9" s="1"/>
  <c r="B46" i="9"/>
  <c r="H45" i="9"/>
  <c r="D45" i="9"/>
  <c r="I45" i="9" s="1"/>
  <c r="B45" i="9"/>
  <c r="H44" i="9"/>
  <c r="D44" i="9"/>
  <c r="I44" i="9" s="1"/>
  <c r="B44" i="9"/>
  <c r="H43" i="9"/>
  <c r="D43" i="9"/>
  <c r="I43" i="9" s="1"/>
  <c r="B43" i="9"/>
  <c r="H42" i="9"/>
  <c r="F42" i="9"/>
  <c r="E42" i="9"/>
  <c r="G42" i="9" s="1"/>
  <c r="D42" i="9"/>
  <c r="I42" i="9" s="1"/>
  <c r="B42" i="9"/>
  <c r="H41" i="9"/>
  <c r="D41" i="9"/>
  <c r="I41" i="9" s="1"/>
  <c r="B41" i="9"/>
  <c r="H40" i="9"/>
  <c r="D40" i="9"/>
  <c r="B40" i="9"/>
  <c r="H39" i="9"/>
  <c r="D39" i="9"/>
  <c r="I39" i="9" s="1"/>
  <c r="B39" i="9"/>
  <c r="H38" i="9"/>
  <c r="D38" i="9"/>
  <c r="I38" i="9" s="1"/>
  <c r="B38" i="9"/>
  <c r="H37" i="9"/>
  <c r="D37" i="9"/>
  <c r="I37" i="9" s="1"/>
  <c r="B37" i="9"/>
  <c r="H36" i="9"/>
  <c r="D36" i="9"/>
  <c r="I36" i="9" s="1"/>
  <c r="B36" i="9"/>
  <c r="H35" i="9"/>
  <c r="D35" i="9"/>
  <c r="I35" i="9" s="1"/>
  <c r="B35" i="9"/>
  <c r="H34" i="9"/>
  <c r="F34" i="9"/>
  <c r="D34" i="9"/>
  <c r="I34" i="9" s="1"/>
  <c r="B34" i="9"/>
  <c r="H33" i="9"/>
  <c r="D33" i="9"/>
  <c r="I33" i="9" s="1"/>
  <c r="B33" i="9"/>
  <c r="H32" i="9"/>
  <c r="D32" i="9"/>
  <c r="I32" i="9" s="1"/>
  <c r="B32" i="9"/>
  <c r="H31" i="9"/>
  <c r="F31" i="9"/>
  <c r="D31" i="9"/>
  <c r="B31" i="9"/>
  <c r="H30" i="9"/>
  <c r="F30" i="9"/>
  <c r="E30" i="9"/>
  <c r="G30" i="9" s="1"/>
  <c r="D30" i="9"/>
  <c r="I30" i="9" s="1"/>
  <c r="B30" i="9"/>
  <c r="H29" i="9"/>
  <c r="D29" i="9"/>
  <c r="I29" i="9" s="1"/>
  <c r="B29" i="9"/>
  <c r="H28" i="9"/>
  <c r="D28" i="9"/>
  <c r="I28" i="9" s="1"/>
  <c r="B28" i="9"/>
  <c r="H27" i="9"/>
  <c r="F27" i="9"/>
  <c r="D27" i="9"/>
  <c r="I27" i="9" s="1"/>
  <c r="B27" i="9"/>
  <c r="H26" i="9"/>
  <c r="F26" i="9"/>
  <c r="E26" i="9"/>
  <c r="G26" i="9" s="1"/>
  <c r="D26" i="9"/>
  <c r="I26" i="9" s="1"/>
  <c r="B26" i="9"/>
  <c r="H25" i="9"/>
  <c r="D25" i="9"/>
  <c r="I25" i="9" s="1"/>
  <c r="B25" i="9"/>
  <c r="H24" i="9"/>
  <c r="D24" i="9"/>
  <c r="B24" i="9"/>
  <c r="H23" i="9"/>
  <c r="D23" i="9"/>
  <c r="I23" i="9" s="1"/>
  <c r="B23" i="9"/>
  <c r="H22" i="9"/>
  <c r="D22" i="9"/>
  <c r="I22" i="9" s="1"/>
  <c r="B22" i="9"/>
  <c r="H21" i="9"/>
  <c r="D21" i="9"/>
  <c r="I21" i="9" s="1"/>
  <c r="B21" i="9"/>
  <c r="H20" i="9"/>
  <c r="D20" i="9"/>
  <c r="I20" i="9" s="1"/>
  <c r="B20" i="9"/>
  <c r="H19" i="9"/>
  <c r="D19" i="9"/>
  <c r="I19" i="9" s="1"/>
  <c r="B19" i="9"/>
  <c r="H18" i="9"/>
  <c r="D18" i="9"/>
  <c r="I18" i="9" s="1"/>
  <c r="B18" i="9"/>
  <c r="H17" i="9"/>
  <c r="D17" i="9"/>
  <c r="I17" i="9" s="1"/>
  <c r="B17" i="9"/>
  <c r="H16" i="9"/>
  <c r="D16" i="9"/>
  <c r="I16" i="9" s="1"/>
  <c r="B16" i="9"/>
  <c r="H15" i="9"/>
  <c r="D15" i="9"/>
  <c r="G15" i="9" s="1"/>
  <c r="B15" i="9"/>
  <c r="H14" i="9"/>
  <c r="G14" i="9"/>
  <c r="F14" i="9"/>
  <c r="E14" i="9"/>
  <c r="D14" i="9"/>
  <c r="I14" i="9" s="1"/>
  <c r="B14" i="9"/>
  <c r="H13" i="9"/>
  <c r="D13" i="9"/>
  <c r="I13" i="9" s="1"/>
  <c r="B13" i="9"/>
  <c r="H12" i="9"/>
  <c r="D12" i="9"/>
  <c r="I12" i="9" s="1"/>
  <c r="B12" i="9"/>
  <c r="H11" i="9"/>
  <c r="D11" i="9"/>
  <c r="I11" i="9" s="1"/>
  <c r="B11" i="9"/>
  <c r="H10" i="9"/>
  <c r="D10" i="9"/>
  <c r="I10" i="9" s="1"/>
  <c r="B10" i="9"/>
  <c r="H9" i="9"/>
  <c r="D9" i="9"/>
  <c r="I9" i="9" s="1"/>
  <c r="B9" i="9"/>
  <c r="H8" i="9"/>
  <c r="D8" i="9"/>
  <c r="B8" i="9"/>
  <c r="H7" i="9"/>
  <c r="D7" i="9"/>
  <c r="I7" i="9" s="1"/>
  <c r="B7" i="9"/>
  <c r="H6" i="9"/>
  <c r="D6" i="9"/>
  <c r="I6" i="9" s="1"/>
  <c r="B6" i="9"/>
  <c r="H5" i="9"/>
  <c r="D5" i="9"/>
  <c r="I5" i="9" s="1"/>
  <c r="B5" i="9"/>
  <c r="H4" i="9"/>
  <c r="D4" i="9"/>
  <c r="I4" i="9" s="1"/>
  <c r="B4" i="9"/>
  <c r="H3" i="9"/>
  <c r="F3" i="9"/>
  <c r="D3" i="9"/>
  <c r="I3" i="9" s="1"/>
  <c r="B3" i="9"/>
  <c r="H2" i="9"/>
  <c r="D2" i="9"/>
  <c r="I2" i="9" s="1"/>
  <c r="B2" i="9"/>
  <c r="E47" i="9" l="1"/>
  <c r="I47" i="9"/>
  <c r="F18" i="9"/>
  <c r="F43" i="9"/>
  <c r="G47" i="9"/>
  <c r="E98" i="9"/>
  <c r="G98" i="9" s="1"/>
  <c r="F106" i="9"/>
  <c r="E2" i="9"/>
  <c r="G2" i="9" s="1"/>
  <c r="F6" i="9"/>
  <c r="F56" i="9"/>
  <c r="I56" i="9"/>
  <c r="E94" i="9"/>
  <c r="G94" i="9" s="1"/>
  <c r="F98" i="9"/>
  <c r="F140" i="9"/>
  <c r="I140" i="9"/>
  <c r="F47" i="9"/>
  <c r="F51" i="9"/>
  <c r="F72" i="9"/>
  <c r="I72" i="9"/>
  <c r="E102" i="9"/>
  <c r="G102" i="9" s="1"/>
  <c r="E106" i="9"/>
  <c r="G106" i="9" s="1"/>
  <c r="E127" i="9"/>
  <c r="G127" i="9" s="1"/>
  <c r="I127" i="9"/>
  <c r="E6" i="9"/>
  <c r="G6" i="9" s="1"/>
  <c r="F10" i="9"/>
  <c r="F22" i="9"/>
  <c r="F102" i="9"/>
  <c r="F39" i="9"/>
  <c r="F2" i="9"/>
  <c r="E31" i="9"/>
  <c r="G31" i="9" s="1"/>
  <c r="I31" i="9"/>
  <c r="F35" i="9"/>
  <c r="G56" i="9"/>
  <c r="E90" i="9"/>
  <c r="G90" i="9" s="1"/>
  <c r="F94" i="9"/>
  <c r="E111" i="9"/>
  <c r="G111" i="9" s="1"/>
  <c r="I111" i="9"/>
  <c r="F119" i="9"/>
  <c r="E140" i="9"/>
  <c r="G140" i="9" s="1"/>
  <c r="F15" i="9"/>
  <c r="F23" i="9"/>
  <c r="F40" i="9"/>
  <c r="I40" i="9"/>
  <c r="E82" i="9"/>
  <c r="G82" i="9" s="1"/>
  <c r="F86" i="9"/>
  <c r="F103" i="9"/>
  <c r="F107" i="9"/>
  <c r="F128" i="9"/>
  <c r="I128" i="9"/>
  <c r="F11" i="9"/>
  <c r="F19" i="9"/>
  <c r="F7" i="9"/>
  <c r="G19" i="9"/>
  <c r="E78" i="9"/>
  <c r="G78" i="9" s="1"/>
  <c r="F82" i="9"/>
  <c r="E95" i="9"/>
  <c r="G95" i="9" s="1"/>
  <c r="I95" i="9"/>
  <c r="F99" i="9"/>
  <c r="G103" i="9"/>
  <c r="F120" i="9"/>
  <c r="I120" i="9"/>
  <c r="F112" i="9"/>
  <c r="I112" i="9"/>
  <c r="E125" i="9"/>
  <c r="I125" i="9"/>
  <c r="E141" i="9"/>
  <c r="I141" i="9"/>
  <c r="F91" i="9"/>
  <c r="G112" i="9"/>
  <c r="F141" i="9"/>
  <c r="F8" i="9"/>
  <c r="I8" i="9"/>
  <c r="E62" i="9"/>
  <c r="G62" i="9" s="1"/>
  <c r="F104" i="9"/>
  <c r="I104" i="9"/>
  <c r="E54" i="9"/>
  <c r="G54" i="9" s="1"/>
  <c r="E58" i="9"/>
  <c r="G58" i="9" s="1"/>
  <c r="F62" i="9"/>
  <c r="E79" i="9"/>
  <c r="G79" i="9" s="1"/>
  <c r="I79" i="9"/>
  <c r="F83" i="9"/>
  <c r="E10" i="9"/>
  <c r="G10" i="9" s="1"/>
  <c r="E18" i="9"/>
  <c r="G18" i="9" s="1"/>
  <c r="E15" i="9"/>
  <c r="I15" i="9"/>
  <c r="F24" i="9"/>
  <c r="I24" i="9"/>
  <c r="G28" i="9"/>
  <c r="E66" i="9"/>
  <c r="G66" i="9" s="1"/>
  <c r="F66" i="9"/>
  <c r="E46" i="9"/>
  <c r="G46" i="9" s="1"/>
  <c r="E50" i="9"/>
  <c r="G50" i="9" s="1"/>
  <c r="F54" i="9"/>
  <c r="F58" i="9"/>
  <c r="F79" i="9"/>
  <c r="E126" i="9"/>
  <c r="E130" i="9"/>
  <c r="G130" i="9" s="1"/>
  <c r="E134" i="9"/>
  <c r="G134" i="9" s="1"/>
  <c r="E138" i="9"/>
  <c r="G138" i="9" s="1"/>
  <c r="E22" i="9"/>
  <c r="G22" i="9" s="1"/>
  <c r="F88" i="9"/>
  <c r="I88" i="9"/>
  <c r="F126" i="9"/>
  <c r="F130" i="9"/>
  <c r="F134" i="9"/>
  <c r="F138" i="9"/>
  <c r="E63" i="9"/>
  <c r="G63" i="9" s="1"/>
  <c r="I63" i="9"/>
  <c r="E122" i="9"/>
  <c r="G122" i="9" s="1"/>
  <c r="G126" i="9"/>
  <c r="E38" i="9"/>
  <c r="G38" i="9" s="1"/>
  <c r="F67" i="9"/>
  <c r="F71" i="9"/>
  <c r="E34" i="9"/>
  <c r="G34" i="9" s="1"/>
  <c r="F38" i="9"/>
  <c r="F63" i="9"/>
  <c r="E93" i="9"/>
  <c r="I93" i="9"/>
  <c r="E118" i="9"/>
  <c r="G118" i="9" s="1"/>
  <c r="F122" i="9"/>
  <c r="F118" i="9"/>
  <c r="F9" i="9"/>
  <c r="E9" i="9"/>
  <c r="G9" i="9" s="1"/>
  <c r="D10" i="7"/>
  <c r="C10" i="7"/>
  <c r="E10" i="7" s="1"/>
  <c r="D11" i="7"/>
  <c r="C11" i="7"/>
  <c r="E11" i="7" s="1"/>
  <c r="F17" i="9"/>
  <c r="E17" i="9"/>
  <c r="G17" i="9" s="1"/>
  <c r="F21" i="9"/>
  <c r="E21" i="9"/>
  <c r="G21" i="9" s="1"/>
  <c r="F25" i="9"/>
  <c r="E25" i="9"/>
  <c r="G25" i="9" s="1"/>
  <c r="E29" i="9"/>
  <c r="G29" i="9" s="1"/>
  <c r="F29" i="9"/>
  <c r="D12" i="7"/>
  <c r="C12" i="7"/>
  <c r="E12" i="7" s="1"/>
  <c r="G33" i="9"/>
  <c r="E33" i="9"/>
  <c r="F33" i="9"/>
  <c r="G37" i="9"/>
  <c r="F37" i="9"/>
  <c r="E37" i="9"/>
  <c r="C2" i="7"/>
  <c r="E2" i="7" s="1"/>
  <c r="B16" i="7"/>
  <c r="D2" i="7"/>
  <c r="D3" i="7"/>
  <c r="C3" i="7"/>
  <c r="E3" i="7" s="1"/>
  <c r="E45" i="9"/>
  <c r="G45" i="9" s="1"/>
  <c r="F45" i="9"/>
  <c r="D4" i="7"/>
  <c r="C4" i="7"/>
  <c r="E4" i="7" s="1"/>
  <c r="E13" i="7"/>
  <c r="D13" i="7"/>
  <c r="C13" i="7"/>
  <c r="F49" i="9"/>
  <c r="E49" i="9"/>
  <c r="G49" i="9" s="1"/>
  <c r="F53" i="9"/>
  <c r="E53" i="9"/>
  <c r="G53" i="9" s="1"/>
  <c r="D5" i="7"/>
  <c r="C5" i="7"/>
  <c r="E5" i="7" s="1"/>
  <c r="D14" i="7"/>
  <c r="C14" i="7"/>
  <c r="E14" i="7" s="1"/>
  <c r="G5" i="9"/>
  <c r="F5" i="9"/>
  <c r="E5" i="9"/>
  <c r="D6" i="7"/>
  <c r="C6" i="7"/>
  <c r="E6" i="7" s="1"/>
  <c r="G61" i="9"/>
  <c r="F61" i="9"/>
  <c r="E61" i="9"/>
  <c r="F65" i="9"/>
  <c r="E65" i="9"/>
  <c r="G65" i="9" s="1"/>
  <c r="E15" i="7"/>
  <c r="D15" i="7"/>
  <c r="C15" i="7"/>
  <c r="D7" i="7"/>
  <c r="C7" i="7"/>
  <c r="E7" i="7" s="1"/>
  <c r="F41" i="9"/>
  <c r="E41" i="9"/>
  <c r="G41" i="9" s="1"/>
  <c r="F13" i="9"/>
  <c r="E13" i="9"/>
  <c r="G13" i="9" s="1"/>
  <c r="E77" i="9"/>
  <c r="G77" i="9" s="1"/>
  <c r="F77" i="9"/>
  <c r="D8" i="7"/>
  <c r="C8" i="7"/>
  <c r="E8" i="7" s="1"/>
  <c r="D9" i="7"/>
  <c r="C9" i="7"/>
  <c r="E9" i="7" s="1"/>
  <c r="E109" i="9"/>
  <c r="G109" i="9" s="1"/>
  <c r="E4" i="9"/>
  <c r="G4" i="9" s="1"/>
  <c r="E20" i="9"/>
  <c r="G20" i="9" s="1"/>
  <c r="E36" i="9"/>
  <c r="G36" i="9" s="1"/>
  <c r="E52" i="9"/>
  <c r="G52" i="9" s="1"/>
  <c r="E68" i="9"/>
  <c r="G68" i="9" s="1"/>
  <c r="E84" i="9"/>
  <c r="G84" i="9" s="1"/>
  <c r="F93" i="9"/>
  <c r="E100" i="9"/>
  <c r="G100" i="9" s="1"/>
  <c r="F109" i="9"/>
  <c r="E116" i="9"/>
  <c r="F125" i="9"/>
  <c r="F4" i="9"/>
  <c r="E11" i="9"/>
  <c r="G11" i="9" s="1"/>
  <c r="F20" i="9"/>
  <c r="E27" i="9"/>
  <c r="G27" i="9" s="1"/>
  <c r="F36" i="9"/>
  <c r="E43" i="9"/>
  <c r="G43" i="9" s="1"/>
  <c r="F52" i="9"/>
  <c r="E59" i="9"/>
  <c r="F68" i="9"/>
  <c r="E75" i="9"/>
  <c r="F84" i="9"/>
  <c r="E91" i="9"/>
  <c r="G91" i="9" s="1"/>
  <c r="G93" i="9"/>
  <c r="F100" i="9"/>
  <c r="E107" i="9"/>
  <c r="G107" i="9" s="1"/>
  <c r="F116" i="9"/>
  <c r="E123" i="9"/>
  <c r="G125" i="9"/>
  <c r="F132" i="9"/>
  <c r="E139" i="9"/>
  <c r="G139" i="9" s="1"/>
  <c r="G141" i="9"/>
  <c r="G116" i="9"/>
  <c r="F123" i="9"/>
  <c r="G132" i="9"/>
  <c r="F139" i="9"/>
  <c r="E89" i="9"/>
  <c r="E137" i="9"/>
  <c r="E57" i="9"/>
  <c r="G59" i="9"/>
  <c r="E73" i="9"/>
  <c r="G73" i="9" s="1"/>
  <c r="G75" i="9"/>
  <c r="E105" i="9"/>
  <c r="E121" i="9"/>
  <c r="G121" i="9" s="1"/>
  <c r="G123" i="9"/>
  <c r="E32" i="9"/>
  <c r="G32" i="9" s="1"/>
  <c r="E64" i="9"/>
  <c r="G64" i="9" s="1"/>
  <c r="F73" i="9"/>
  <c r="E96" i="9"/>
  <c r="G96" i="9" s="1"/>
  <c r="F105" i="9"/>
  <c r="E112" i="9"/>
  <c r="F121" i="9"/>
  <c r="E128" i="9"/>
  <c r="G128" i="9" s="1"/>
  <c r="F137" i="9"/>
  <c r="E16" i="9"/>
  <c r="G16" i="9" s="1"/>
  <c r="E48" i="9"/>
  <c r="G48" i="9" s="1"/>
  <c r="F57" i="9"/>
  <c r="E80" i="9"/>
  <c r="G80" i="9" s="1"/>
  <c r="F89" i="9"/>
  <c r="E7" i="9"/>
  <c r="G7" i="9" s="1"/>
  <c r="F16" i="9"/>
  <c r="E23" i="9"/>
  <c r="G23" i="9" s="1"/>
  <c r="F32" i="9"/>
  <c r="E39" i="9"/>
  <c r="G39" i="9" s="1"/>
  <c r="F48" i="9"/>
  <c r="E55" i="9"/>
  <c r="G55" i="9" s="1"/>
  <c r="G57" i="9"/>
  <c r="F64" i="9"/>
  <c r="E71" i="9"/>
  <c r="G71" i="9" s="1"/>
  <c r="F80" i="9"/>
  <c r="E87" i="9"/>
  <c r="G87" i="9" s="1"/>
  <c r="G89" i="9"/>
  <c r="F96" i="9"/>
  <c r="E103" i="9"/>
  <c r="G105" i="9"/>
  <c r="E119" i="9"/>
  <c r="G119" i="9" s="1"/>
  <c r="E135" i="9"/>
  <c r="G135" i="9" s="1"/>
  <c r="G137" i="9"/>
  <c r="E101" i="9"/>
  <c r="E133" i="9"/>
  <c r="E85" i="9"/>
  <c r="E69" i="9"/>
  <c r="G69" i="9" s="1"/>
  <c r="E117" i="9"/>
  <c r="E12" i="9"/>
  <c r="G12" i="9" s="1"/>
  <c r="E28" i="9"/>
  <c r="E44" i="9"/>
  <c r="G44" i="9" s="1"/>
  <c r="E60" i="9"/>
  <c r="G60" i="9" s="1"/>
  <c r="F69" i="9"/>
  <c r="E76" i="9"/>
  <c r="G76" i="9" s="1"/>
  <c r="F85" i="9"/>
  <c r="E92" i="9"/>
  <c r="G92" i="9" s="1"/>
  <c r="F101" i="9"/>
  <c r="E108" i="9"/>
  <c r="G108" i="9" s="1"/>
  <c r="F117" i="9"/>
  <c r="E124" i="9"/>
  <c r="G124" i="9" s="1"/>
  <c r="F133" i="9"/>
  <c r="E3" i="9"/>
  <c r="G3" i="9" s="1"/>
  <c r="F12" i="9"/>
  <c r="E19" i="9"/>
  <c r="F28" i="9"/>
  <c r="E35" i="9"/>
  <c r="G35" i="9" s="1"/>
  <c r="F44" i="9"/>
  <c r="E51" i="9"/>
  <c r="G51" i="9" s="1"/>
  <c r="F60" i="9"/>
  <c r="E67" i="9"/>
  <c r="G67" i="9" s="1"/>
  <c r="F76" i="9"/>
  <c r="E83" i="9"/>
  <c r="G83" i="9" s="1"/>
  <c r="G85" i="9"/>
  <c r="F92" i="9"/>
  <c r="E99" i="9"/>
  <c r="G99" i="9" s="1"/>
  <c r="G101" i="9"/>
  <c r="F108" i="9"/>
  <c r="E115" i="9"/>
  <c r="G117" i="9"/>
  <c r="F124" i="9"/>
  <c r="E131" i="9"/>
  <c r="G133" i="9"/>
  <c r="E97" i="9"/>
  <c r="G97" i="9" s="1"/>
  <c r="E24" i="9"/>
  <c r="G24" i="9" s="1"/>
  <c r="E56" i="9"/>
  <c r="E81" i="9"/>
  <c r="G81" i="9" s="1"/>
  <c r="E113" i="9"/>
  <c r="G113" i="9" s="1"/>
  <c r="G115" i="9"/>
  <c r="E129" i="9"/>
  <c r="G129" i="9" s="1"/>
  <c r="G131" i="9"/>
  <c r="E8" i="9"/>
  <c r="G8" i="9" s="1"/>
  <c r="E40" i="9"/>
  <c r="G40" i="9" s="1"/>
  <c r="E72" i="9"/>
  <c r="G72" i="9" s="1"/>
  <c r="F81" i="9"/>
  <c r="E88" i="9"/>
  <c r="G88" i="9" s="1"/>
  <c r="F97" i="9"/>
  <c r="E104" i="9"/>
  <c r="G104" i="9" s="1"/>
  <c r="F113" i="9"/>
  <c r="E120" i="9"/>
  <c r="G120" i="9" s="1"/>
  <c r="F129" i="9"/>
  <c r="E136" i="9"/>
  <c r="G136" i="9" s="1"/>
  <c r="F136" i="9"/>
  <c r="D16" i="7" l="1"/>
  <c r="C16" i="7"/>
  <c r="E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<sst xmlns="http://schemas.openxmlformats.org/spreadsheetml/2006/main" count="7700" uniqueCount="1867">
  <si>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</si>
  <si>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</si>
  <si>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</si>
  <si>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</si>
  <si>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</si>
  <si>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</si>
  <si>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</si>
  <si>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</si>
  <si>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</si>
  <si>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ערוץ 14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</si>
  <si>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</si>
  <si>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</si>
  <si>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</si>
  <si>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</si>
  <si>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</si>
  <si>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</si>
  <si>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</si>
  <si>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</si>
  <si>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</si>
  <si>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</si>
  <si>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</si>
  <si>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</si>
  <si>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</si>
  <si>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</si>
  <si>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כאן חדשות</t>
  </si>
  <si>
    <t>מעריב</t>
  </si>
  <si>
    <t>ישראל היום</t>
  </si>
  <si>
    <t>זמן ישראל</t>
  </si>
  <si>
    <t>חדשות 13</t>
  </si>
  <si>
    <t>ערוץ 16</t>
  </si>
  <si>
    <t>חדשות 12</t>
  </si>
  <si>
    <t>וואלה</t>
  </si>
  <si>
    <t>i24 news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</si>
  <si>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</si>
  <si>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</si>
  <si>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</si>
  <si>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</si>
  <si>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</si>
  <si>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</si>
  <si>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</si>
  <si>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</si>
  <si>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</si>
  <si>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</si>
  <si>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</si>
  <si>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</si>
  <si>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</si>
  <si>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</si>
  <si>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</si>
  <si>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</si>
  <si>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</si>
  <si>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</si>
  <si>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</si>
  <si>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</si>
  <si>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</si>
  <si>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</si>
  <si>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</si>
  <si>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</si>
  <si>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</si>
  <si>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</si>
  <si>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</si>
  <si>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</si>
  <si>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</si>
  <si>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</si>
  <si>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</si>
  <si>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</si>
  <si>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</si>
  <si>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</si>
  <si>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</si>
  <si>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</si>
  <si>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</si>
  <si>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</si>
  <si>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</si>
  <si>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</si>
  <si>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</si>
  <si>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</si>
  <si>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</si>
  <si>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</si>
  <si>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</si>
  <si>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</si>
  <si>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</si>
  <si>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</si>
  <si>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</si>
  <si>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</si>
  <si>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</si>
  <si>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</si>
  <si>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</si>
  <si>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</si>
  <si>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</si>
  <si>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</si>
  <si>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</si>
  <si>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</si>
  <si>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</si>
  <si>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</si>
  <si>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</si>
  <si>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</si>
  <si>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</si>
  <si>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</si>
  <si>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</si>
  <si>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</si>
  <si>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</si>
  <si>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</si>
  <si>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</si>
  <si>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</si>
  <si>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</si>
  <si>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</si>
  <si>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</si>
  <si>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</si>
  <si>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</si>
  <si>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</si>
  <si>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</si>
  <si>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</si>
  <si>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</si>
  <si>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</si>
  <si>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</si>
  <si>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</si>
  <si>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</si>
  <si>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</si>
  <si>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</si>
  <si>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</si>
  <si>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</si>
  <si>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</si>
  <si>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</si>
  <si>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</si>
  <si>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</si>
  <si>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</si>
  <si>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</si>
  <si>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</si>
  <si>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</si>
  <si>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</si>
  <si>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</si>
  <si>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</si>
  <si>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</si>
  <si>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</si>
  <si>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</si>
  <si>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</si>
  <si>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</si>
  <si>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</si>
  <si>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</si>
  <si>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</si>
  <si>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</si>
  <si>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</si>
  <si>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</si>
  <si>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</si>
  <si>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</si>
  <si>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</si>
  <si>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</si>
  <si>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</si>
  <si>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</si>
  <si>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</si>
  <si>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</si>
  <si>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</si>
  <si>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</si>
  <si>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</si>
  <si>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</si>
  <si>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</si>
  <si>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</si>
  <si>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</si>
  <si>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</si>
  <si>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</si>
  <si>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</si>
  <si>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</si>
  <si>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</si>
  <si>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</si>
  <si>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</si>
  <si>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</si>
  <si>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</si>
  <si>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</si>
  <si>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</si>
  <si>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</si>
  <si>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</si>
  <si>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</si>
  <si>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</si>
  <si>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</si>
  <si>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</si>
  <si>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</si>
  <si>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</si>
  <si>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</si>
  <si>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</si>
  <si>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</si>
  <si>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</si>
  <si>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</si>
  <si>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</si>
  <si>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</si>
  <si>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</si>
  <si>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</si>
  <si>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</si>
  <si>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</si>
  <si>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</si>
  <si>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</si>
  <si>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</si>
  <si>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</si>
  <si>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</si>
  <si>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</si>
  <si>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</si>
  <si>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</si>
  <si>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</si>
  <si>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</si>
  <si>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</si>
  <si>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</si>
  <si>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</si>
  <si>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</si>
  <si>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</si>
  <si>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</si>
  <si>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</si>
  <si>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</si>
  <si>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</si>
  <si>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</si>
  <si>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</si>
  <si>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</si>
  <si>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</si>
  <si>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</si>
  <si>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</si>
  <si>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</si>
  <si>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</si>
  <si>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</si>
  <si>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</si>
  <si>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</si>
  <si>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</si>
  <si>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</si>
  <si>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</si>
  <si>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</si>
  <si>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</si>
  <si>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</si>
  <si>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</si>
  <si>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</si>
  <si>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</si>
  <si>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</si>
  <si>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</si>
  <si>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</si>
  <si>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</si>
  <si>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</si>
  <si>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</si>
  <si>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</si>
  <si>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</si>
  <si>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</si>
  <si>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</si>
  <si>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</si>
  <si>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</si>
  <si>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</si>
  <si>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</si>
  <si>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</si>
  <si>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</si>
  <si>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</si>
  <si>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</si>
  <si>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</si>
  <si>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</si>
  <si>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</si>
  <si>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</si>
  <si>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</si>
  <si>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</si>
  <si>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</si>
  <si>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</si>
  <si>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</si>
  <si>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</si>
  <si>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</si>
  <si>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</si>
  <si>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</si>
  <si>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</si>
  <si>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</si>
  <si>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</si>
  <si>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</si>
  <si>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</si>
  <si>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</si>
  <si>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</si>
  <si>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</si>
  <si>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</si>
  <si>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</si>
  <si>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</si>
  <si>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</si>
  <si>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</si>
  <si>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</si>
  <si>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</si>
  <si>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</si>
  <si>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</si>
  <si>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</si>
  <si>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</si>
  <si>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</si>
  <si>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</si>
  <si>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</si>
  <si>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</si>
  <si>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</si>
  <si>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</si>
  <si>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</si>
  <si>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</si>
  <si>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</si>
  <si>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</si>
  <si>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</si>
  <si>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</si>
  <si>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</si>
  <si>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</si>
  <si>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</si>
  <si>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</si>
  <si>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</si>
  <si>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</si>
  <si>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</si>
  <si>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</si>
  <si>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</si>
  <si>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</si>
  <si>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</si>
  <si>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</si>
  <si>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</si>
  <si>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</si>
  <si>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</si>
  <si>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</si>
  <si>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</si>
  <si>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</si>
  <si>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</si>
  <si>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</si>
  <si>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</si>
  <si>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</si>
  <si>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</si>
  <si>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</si>
  <si>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</si>
  <si>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</si>
  <si>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</si>
  <si>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</si>
  <si>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</si>
  <si>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</si>
  <si>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</si>
  <si>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</si>
  <si>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</si>
  <si>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</si>
  <si>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</si>
  <si>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</si>
  <si>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</si>
  <si>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</si>
  <si>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</si>
  <si>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</si>
  <si>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</si>
  <si>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</si>
  <si>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</si>
  <si>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</si>
  <si>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</si>
  <si>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</si>
  <si>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</si>
  <si>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</si>
  <si>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</si>
  <si>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</si>
  <si>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</si>
  <si>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</si>
  <si>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</si>
  <si>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</si>
  <si>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</si>
  <si>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</si>
  <si>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</si>
  <si>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</si>
  <si>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</si>
  <si>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</si>
  <si>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</si>
  <si>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</si>
  <si>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</si>
  <si>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</si>
  <si>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</si>
  <si>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</si>
  <si>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</si>
  <si>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</si>
  <si>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</si>
  <si>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</si>
  <si>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</si>
  <si>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</si>
  <si>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</si>
  <si>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</si>
  <si>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</si>
  <si>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</si>
  <si>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</si>
  <si>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</si>
  <si>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</si>
  <si>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</si>
  <si>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</si>
  <si>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</si>
  <si>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</si>
  <si>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</si>
  <si>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</si>
  <si>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</si>
  <si>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</si>
  <si>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</si>
  <si>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</si>
  <si>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</si>
  <si>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</si>
  <si>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</si>
  <si>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</si>
  <si>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</si>
  <si>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</si>
  <si>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</si>
  <si>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</si>
  <si>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</si>
  <si>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</si>
  <si>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</si>
  <si>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</si>
  <si>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</si>
  <si>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</si>
  <si>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</si>
  <si>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</si>
  <si>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</si>
  <si>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</si>
  <si>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</si>
  <si>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</si>
  <si>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</si>
  <si>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</si>
  <si>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</si>
  <si>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</si>
  <si>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</si>
  <si>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</si>
  <si>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</si>
  <si>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</si>
  <si>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</si>
  <si>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</si>
  <si>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</si>
  <si>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</si>
  <si>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</si>
  <si>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</si>
  <si>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</si>
  <si>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</si>
  <si>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</si>
  <si>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</si>
  <si>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</si>
  <si>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</si>
  <si>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</si>
  <si>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</si>
  <si>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</si>
  <si>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</si>
  <si>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</si>
  <si>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</si>
  <si>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</si>
  <si>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</si>
  <si>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</si>
  <si>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</si>
  <si>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</si>
  <si>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</si>
  <si>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</si>
  <si>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</si>
  <si>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</si>
  <si>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</si>
  <si>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</si>
  <si>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</si>
  <si>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</si>
  <si>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</si>
  <si>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</si>
  <si>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</si>
  <si>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</si>
  <si>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</si>
  <si>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</si>
  <si>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</si>
  <si>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</si>
  <si>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</si>
  <si>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</si>
  <si>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</si>
  <si>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</si>
  <si>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</si>
  <si>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</si>
  <si>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</si>
  <si>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</si>
  <si>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</si>
  <si>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</si>
  <si>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</si>
  <si>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</si>
  <si>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</si>
  <si>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</si>
  <si>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</si>
  <si>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</si>
  <si>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</si>
  <si>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</si>
  <si>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</si>
  <si>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</si>
  <si>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</si>
  <si>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</si>
  <si>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</si>
  <si>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</si>
  <si>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</si>
  <si>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</si>
  <si>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</si>
  <si>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</si>
  <si>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</si>
  <si>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</si>
  <si>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</si>
  <si>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</si>
  <si>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</si>
  <si>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</si>
  <si>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</si>
  <si>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</si>
  <si>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</si>
  <si>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</si>
  <si>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</si>
  <si>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</si>
  <si>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</si>
  <si>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</si>
  <si>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</si>
  <si>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</si>
  <si>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</si>
  <si>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</si>
  <si>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</si>
  <si>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</si>
  <si>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</si>
  <si>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</si>
  <si>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</si>
  <si>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</si>
  <si>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</si>
  <si>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</si>
  <si>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</si>
  <si>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</si>
  <si>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</si>
  <si>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</si>
  <si>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</si>
  <si>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</si>
  <si>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</si>
  <si>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</si>
  <si>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</si>
  <si>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</si>
  <si>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</si>
  <si>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</si>
  <si>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</si>
  <si>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</si>
  <si>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</si>
  <si>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</si>
  <si>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</si>
  <si>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</si>
  <si>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</si>
  <si>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</si>
  <si>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</si>
  <si>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</si>
  <si>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</si>
  <si>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</si>
  <si>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</si>
  <si>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</si>
  <si>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</si>
  <si>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</si>
  <si>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</si>
  <si>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</si>
  <si>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</si>
  <si>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</si>
  <si>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</si>
  <si>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</si>
  <si>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</si>
  <si>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</si>
  <si>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</si>
  <si>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</si>
  <si>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</si>
  <si>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</si>
  <si>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</si>
  <si>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</si>
  <si>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</si>
  <si>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</si>
  <si>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</si>
  <si>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</si>
  <si>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</si>
  <si>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</si>
  <si>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</si>
  <si>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</si>
  <si>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</si>
  <si>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</si>
  <si>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</si>
  <si>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</si>
  <si>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</si>
  <si>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</si>
  <si>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</si>
  <si>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</si>
  <si>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</si>
  <si>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</si>
  <si>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</si>
  <si>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</si>
  <si>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</si>
  <si>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</si>
  <si>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</si>
  <si>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</si>
  <si>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</si>
  <si>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</si>
  <si>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</si>
  <si>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</si>
  <si>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</si>
  <si>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</si>
  <si>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</si>
  <si>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</si>
  <si>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</si>
  <si>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</si>
  <si>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</si>
  <si>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</si>
  <si>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</si>
  <si>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</si>
  <si>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</si>
  <si>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</si>
  <si>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</si>
  <si>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</si>
  <si>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</si>
  <si>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</si>
  <si>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</si>
  <si>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</si>
  <si>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</si>
  <si>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</si>
  <si>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</si>
  <si>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</si>
  <si>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</si>
  <si>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</si>
  <si>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</si>
  <si>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</si>
  <si>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</si>
  <si>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</si>
  <si>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</si>
  <si>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</si>
  <si>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</si>
  <si>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</si>
  <si>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</si>
  <si>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</si>
  <si>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</si>
  <si>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</si>
  <si>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</si>
  <si>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</si>
  <si>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</si>
  <si>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</si>
  <si>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</si>
  <si>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</si>
  <si>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</si>
  <si>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</si>
  <si>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</si>
  <si>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</si>
  <si>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</si>
  <si>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</si>
  <si>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</si>
  <si>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</si>
  <si>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</si>
  <si>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</si>
  <si>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</si>
  <si>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</si>
  <si>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</si>
  <si>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</si>
  <si>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</si>
  <si>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</si>
  <si>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</si>
  <si>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</si>
  <si>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</si>
  <si>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</si>
  <si>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</si>
  <si>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</si>
  <si>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</si>
  <si>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</si>
  <si>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</si>
  <si>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</si>
  <si>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</si>
  <si>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</si>
  <si>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</si>
  <si>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</si>
  <si>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</si>
  <si>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</si>
  <si>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</si>
  <si>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</si>
  <si>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</si>
  <si>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</si>
  <si>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</si>
  <si>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</si>
  <si>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</si>
  <si>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</si>
  <si>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</si>
  <si>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</si>
  <si>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</si>
  <si>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</si>
  <si>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</si>
  <si>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</si>
  <si>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</si>
  <si>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</si>
  <si>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</si>
  <si>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</si>
  <si>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</si>
  <si>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</si>
  <si>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</si>
  <si>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</si>
  <si>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</si>
  <si>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</si>
  <si>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</si>
  <si>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</si>
  <si>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</si>
  <si>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</si>
  <si>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</si>
  <si>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</si>
  <si>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</si>
  <si>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</si>
  <si>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</si>
  <si>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</si>
  <si>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</si>
  <si>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</si>
  <si>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</si>
  <si>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</si>
  <si>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</si>
  <si>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</si>
  <si>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</si>
  <si>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</si>
  <si>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</si>
  <si>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</si>
  <si>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</si>
  <si>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</si>
  <si>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</si>
  <si>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</si>
  <si>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</si>
  <si>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</si>
  <si>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</si>
  <si>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</si>
  <si>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</si>
  <si>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</si>
  <si>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</si>
  <si>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</si>
  <si>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</si>
  <si>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</si>
  <si>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</si>
  <si>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</si>
  <si>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</si>
  <si>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</si>
  <si>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</si>
  <si>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</si>
  <si>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</si>
  <si>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</si>
  <si>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</si>
  <si>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</si>
  <si>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</si>
  <si>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</si>
  <si>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</si>
  <si>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</si>
  <si>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</si>
  <si>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</si>
  <si>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</si>
  <si>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</si>
  <si>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</si>
  <si>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</si>
  <si>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</si>
  <si>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</si>
  <si>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</si>
  <si>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</si>
  <si>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</si>
  <si>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</si>
  <si>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</si>
  <si>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</si>
  <si>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</si>
  <si>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</si>
  <si>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</si>
  <si>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</si>
  <si>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</si>
  <si>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</si>
  <si>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</si>
  <si>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</si>
  <si>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</si>
  <si>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</si>
  <si>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</si>
  <si>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</si>
  <si>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</si>
  <si>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</si>
  <si>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</si>
  <si>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</si>
  <si>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</si>
  <si>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</si>
  <si>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</si>
  <si>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</si>
  <si>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</si>
  <si>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</si>
  <si>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</si>
  <si>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</si>
  <si>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</si>
  <si>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</si>
  <si>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</si>
  <si>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</si>
  <si>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</si>
  <si>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</si>
  <si>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</si>
  <si>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</si>
  <si>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</si>
  <si>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</si>
  <si>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</si>
  <si>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</si>
  <si>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</si>
  <si>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</si>
  <si>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</si>
  <si>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</si>
  <si>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</si>
  <si>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</si>
  <si>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</si>
  <si>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</si>
  <si>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</si>
  <si>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</si>
  <si>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</si>
  <si>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</si>
  <si>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</si>
  <si>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</si>
  <si>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</si>
  <si>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</si>
  <si>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</si>
  <si>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</si>
  <si>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</si>
  <si>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</si>
  <si>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</si>
  <si>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</si>
  <si>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</si>
  <si>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</si>
  <si>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</si>
  <si>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</si>
  <si>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</si>
  <si>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</si>
  <si>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</si>
  <si>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</si>
  <si>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</si>
  <si>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</si>
  <si>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</si>
  <si>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</si>
  <si>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</si>
  <si>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</si>
  <si>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</si>
  <si>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</si>
  <si>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</si>
  <si>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</si>
  <si>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</si>
  <si>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</si>
  <si>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</si>
  <si>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</si>
  <si>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</si>
  <si>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</si>
  <si>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</si>
  <si>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</si>
  <si>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</si>
  <si>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</si>
  <si>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</si>
  <si>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</si>
  <si>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</si>
  <si>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</si>
  <si>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</si>
  <si>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</si>
  <si>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</si>
  <si>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</si>
  <si>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</si>
  <si>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</si>
  <si>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</si>
  <si>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</si>
  <si>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</si>
  <si>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</si>
  <si>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</si>
  <si>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</si>
  <si>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</si>
  <si>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</si>
  <si>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</si>
  <si>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</si>
  <si>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</si>
  <si>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</si>
  <si>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</si>
  <si>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</si>
  <si>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</si>
  <si>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</si>
  <si>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</si>
  <si>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</si>
  <si>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</si>
  <si>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</si>
  <si>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</si>
  <si>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</si>
  <si>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</si>
  <si>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</si>
  <si>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</si>
  <si>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</si>
  <si>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</si>
  <si>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</si>
  <si>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</si>
  <si>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</si>
  <si>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</si>
  <si>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</si>
  <si>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</si>
  <si>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</si>
  <si>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</si>
  <si>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</si>
  <si>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</si>
  <si>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</si>
  <si>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</si>
  <si>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</si>
  <si>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</si>
  <si>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</si>
  <si>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</si>
  <si>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</si>
  <si>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</si>
  <si>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</si>
  <si>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</si>
  <si>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</si>
  <si>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</si>
  <si>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</si>
  <si>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</si>
  <si>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</si>
  <si>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</si>
  <si>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</si>
  <si>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</si>
  <si>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</si>
  <si>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</si>
  <si>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</si>
  <si>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</si>
  <si>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</si>
  <si>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</si>
  <si>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</si>
  <si>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</si>
  <si>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</si>
  <si>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</si>
  <si>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</si>
  <si>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</si>
  <si>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</si>
  <si>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</si>
  <si>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</si>
  <si>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</si>
  <si>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</si>
  <si>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</si>
  <si>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</si>
  <si>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</si>
  <si>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</si>
  <si>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</si>
  <si>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</si>
  <si>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</si>
  <si>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</si>
  <si>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</si>
  <si>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</si>
  <si>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</si>
  <si>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</si>
  <si>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</si>
  <si>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</si>
  <si>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</si>
  <si>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</si>
  <si>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</si>
  <si>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</si>
  <si>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</si>
  <si>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</si>
  <si>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</si>
  <si>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</si>
  <si>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</si>
  <si>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</si>
  <si>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</si>
  <si>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</si>
  <si>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</si>
  <si>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</si>
  <si>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</si>
  <si>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</si>
  <si>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</si>
  <si>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</si>
  <si>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</si>
  <si>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</si>
  <si>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</si>
  <si>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</si>
  <si>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</si>
  <si>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</si>
  <si>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</si>
  <si>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</si>
  <si>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</si>
  <si>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</si>
  <si>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</si>
  <si>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</si>
  <si>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</si>
  <si>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</si>
  <si>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</si>
  <si>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</si>
  <si>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</si>
  <si>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</si>
  <si>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</si>
  <si>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</si>
  <si>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</si>
  <si>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</si>
  <si>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</si>
  <si>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</si>
  <si>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</si>
  <si>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</si>
  <si>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</si>
  <si>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</si>
  <si>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</si>
  <si>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</si>
  <si>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</si>
  <si>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</si>
  <si>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</si>
  <si>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</si>
  <si>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</si>
  <si>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</si>
  <si>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</si>
  <si>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</si>
  <si>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</si>
  <si>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</si>
  <si>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</si>
  <si>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</si>
  <si>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</si>
  <si>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</si>
  <si>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</si>
  <si>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</si>
  <si>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</si>
  <si>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</si>
  <si>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</si>
  <si>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</si>
  <si>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</si>
  <si>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</si>
  <si>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</si>
  <si>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</si>
  <si>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</si>
  <si>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</si>
  <si>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</si>
  <si>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</si>
  <si>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</si>
  <si>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</si>
  <si>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</si>
  <si>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</si>
  <si>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</si>
  <si>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</si>
  <si>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</si>
  <si>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</si>
  <si>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</si>
  <si>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</si>
  <si>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</si>
  <si>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</si>
  <si>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</si>
  <si>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</si>
  <si>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</si>
  <si>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</si>
  <si>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</si>
  <si>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</si>
  <si>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</si>
  <si>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</si>
  <si>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</si>
  <si>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</si>
  <si>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</si>
  <si>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</si>
  <si>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</si>
  <si>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</si>
  <si>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</si>
  <si>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</si>
  <si>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</si>
  <si>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</si>
  <si>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</si>
  <si>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</si>
  <si>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</si>
  <si>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</si>
  <si>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</si>
  <si>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</si>
  <si>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</si>
  <si>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</si>
  <si>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</si>
  <si>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</si>
  <si>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</si>
  <si>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</si>
  <si>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</si>
  <si>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</si>
  <si>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</si>
  <si>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</si>
  <si>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</si>
  <si>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</si>
  <si>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</si>
  <si>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</si>
  <si>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</si>
  <si>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</si>
  <si>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</si>
  <si>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</si>
  <si>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</si>
  <si>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</si>
  <si>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</si>
  <si>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</si>
  <si>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</si>
  <si>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</si>
  <si>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</si>
  <si>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</si>
  <si>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</si>
  <si>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</si>
  <si>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</si>
  <si>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</si>
  <si>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</si>
  <si>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</si>
  <si>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</si>
  <si>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</si>
  <si>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</si>
  <si>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</si>
  <si>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</si>
  <si>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</si>
  <si>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</si>
  <si>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</si>
  <si>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</si>
  <si>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</si>
  <si>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</si>
  <si>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</si>
  <si>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</si>
  <si>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</si>
  <si>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</si>
  <si>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</si>
  <si>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</si>
  <si>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</si>
  <si>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</si>
  <si>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</si>
  <si>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</si>
  <si>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</si>
  <si>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</si>
  <si>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</si>
  <si>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</si>
  <si>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</si>
  <si>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</si>
  <si>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</si>
  <si>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</si>
  <si>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</si>
  <si>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</si>
  <si>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</si>
  <si>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</si>
  <si>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</si>
  <si>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</si>
  <si>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</si>
  <si>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</si>
  <si>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</si>
  <si>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</si>
  <si>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</si>
  <si>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</si>
  <si>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</si>
  <si>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</si>
  <si>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</si>
  <si>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</si>
  <si>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</si>
  <si>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</si>
  <si>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</si>
  <si>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</si>
  <si>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</si>
  <si>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</si>
  <si>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</si>
  <si>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</si>
  <si>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</si>
  <si>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</si>
  <si>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</si>
  <si>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</si>
  <si>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</si>
  <si>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</si>
  <si>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</si>
  <si>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</si>
  <si>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</si>
  <si>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</si>
  <si>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</si>
  <si>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</si>
  <si>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</si>
  <si>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</si>
  <si>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</si>
  <si>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</si>
  <si>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</si>
  <si>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</si>
  <si>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</si>
  <si>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</si>
  <si>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</si>
  <si>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</si>
  <si>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</si>
  <si>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</si>
  <si>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</si>
  <si>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</si>
  <si>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</si>
  <si>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</si>
  <si>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</si>
  <si>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</si>
  <si>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</si>
  <si>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</si>
  <si>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</si>
  <si>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</si>
  <si>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</si>
  <si>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</si>
  <si>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</si>
  <si>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</si>
  <si>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</si>
  <si>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</si>
  <si>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</si>
  <si>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</si>
  <si>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</si>
  <si>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</si>
  <si>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</si>
  <si>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</si>
  <si>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</si>
  <si>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</si>
  <si>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</si>
  <si>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</si>
  <si>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</si>
  <si>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</si>
  <si>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</si>
  <si>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</si>
  <si>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</si>
  <si>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</si>
  <si>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</si>
  <si>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</si>
  <si>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</si>
  <si>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</si>
  <si>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</si>
  <si>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</si>
  <si>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</si>
  <si>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</si>
  <si>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</si>
  <si>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</si>
  <si>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</si>
  <si>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</si>
  <si>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</si>
  <si>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</si>
  <si>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</si>
  <si>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</si>
  <si>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</si>
  <si>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</si>
  <si>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</si>
  <si>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</si>
  <si>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</si>
  <si>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</si>
  <si>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</si>
  <si>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</si>
  <si>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</si>
  <si>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</si>
  <si>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</si>
  <si>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</si>
  <si>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</si>
  <si>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</si>
  <si>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</si>
  <si>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</si>
  <si>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</si>
  <si>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</si>
  <si>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</si>
  <si>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</si>
  <si>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</si>
  <si>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</si>
  <si>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</si>
  <si>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</si>
  <si>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</si>
  <si>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</si>
  <si>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</si>
  <si>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</si>
  <si>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</si>
  <si>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</si>
  <si>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</si>
  <si>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</si>
  <si>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</si>
  <si>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</si>
  <si>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</si>
  <si>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</si>
  <si>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</si>
  <si>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</si>
  <si>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</si>
  <si>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</si>
  <si>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</si>
  <si>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</si>
  <si>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</si>
  <si>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</si>
  <si>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</si>
  <si>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</si>
  <si>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</si>
  <si>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</si>
  <si>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</si>
  <si>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</si>
  <si>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</si>
  <si>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</si>
  <si>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</si>
  <si>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</si>
  <si>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</si>
  <si>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</si>
  <si>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</si>
  <si>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</si>
  <si>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</si>
  <si>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</si>
  <si>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</si>
  <si>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</si>
  <si>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</si>
  <si>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</si>
  <si>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</si>
  <si>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</si>
  <si>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</si>
  <si>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</si>
  <si>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</si>
  <si>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</si>
  <si>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</si>
  <si>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</si>
  <si>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</si>
  <si>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</si>
  <si>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</si>
  <si>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</si>
  <si>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</si>
  <si>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</si>
  <si>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</si>
  <si>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</si>
  <si>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</si>
  <si>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</si>
  <si>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</si>
  <si>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</si>
  <si>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</si>
  <si>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</si>
  <si>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</si>
  <si>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</si>
  <si>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</si>
  <si>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</si>
  <si>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</si>
  <si>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</si>
  <si>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</si>
  <si>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</si>
  <si>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</si>
  <si>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</si>
  <si>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</si>
  <si>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</si>
  <si>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</si>
  <si>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</si>
  <si>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</si>
  <si>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</si>
  <si>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</si>
  <si>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</si>
  <si>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</si>
  <si>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</si>
  <si>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</si>
  <si>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</si>
  <si>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</si>
  <si>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</si>
  <si>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</si>
  <si>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</si>
  <si>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</si>
  <si>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</si>
  <si>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</si>
  <si>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</si>
  <si>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</si>
  <si>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</si>
  <si>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</si>
  <si>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</si>
  <si>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</si>
  <si>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</si>
  <si>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</si>
  <si>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</si>
  <si>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</si>
  <si>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</si>
  <si>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</si>
  <si>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</si>
  <si>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</si>
  <si>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</si>
  <si>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</si>
  <si>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</si>
  <si>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</si>
  <si>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</si>
  <si>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</si>
  <si>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</si>
  <si>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</si>
  <si>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</si>
  <si>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</si>
  <si>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</si>
  <si>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</si>
  <si>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</si>
  <si>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</si>
  <si>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</si>
  <si>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</si>
  <si>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</si>
  <si>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</si>
  <si>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</si>
  <si>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</si>
  <si>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</si>
  <si>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</si>
  <si>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</si>
  <si>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</si>
  <si>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</si>
  <si>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</si>
  <si>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</si>
  <si>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</si>
  <si>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</si>
  <si>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</si>
  <si>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</si>
  <si>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</si>
  <si>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</si>
  <si>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</si>
  <si>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</si>
  <si>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</si>
  <si>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</si>
  <si>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</si>
  <si>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</si>
  <si>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</si>
  <si>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</si>
  <si>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</si>
  <si>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</si>
  <si>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</si>
  <si>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</si>
  <si>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</si>
  <si>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</si>
  <si>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</si>
  <si>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</si>
  <si>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</si>
  <si>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</si>
  <si>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</si>
  <si>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</si>
  <si>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</si>
  <si>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</si>
  <si>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</si>
  <si>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</si>
  <si>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</si>
  <si>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</si>
  <si>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</si>
  <si>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</si>
  <si>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</si>
  <si>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</si>
  <si>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</si>
  <si>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</si>
  <si>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</si>
  <si>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</si>
  <si>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</si>
  <si>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</si>
  <si>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</si>
  <si>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</si>
  <si>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</si>
  <si>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</si>
  <si>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</si>
  <si>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</si>
  <si>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</si>
  <si>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</si>
  <si>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</si>
  <si>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</si>
  <si>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</si>
  <si>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</si>
  <si>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</si>
  <si>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</si>
  <si>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</si>
  <si>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</si>
  <si>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</si>
  <si>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</si>
  <si>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</si>
  <si>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</si>
  <si>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</si>
  <si>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</si>
  <si>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</si>
  <si>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</si>
  <si>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</si>
  <si>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</si>
  <si>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</si>
  <si>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</si>
  <si>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</si>
  <si>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</si>
  <si>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</si>
  <si>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</si>
  <si>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</si>
  <si>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</si>
  <si>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</si>
  <si>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</si>
  <si>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</si>
  <si>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</si>
  <si>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</si>
  <si>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</si>
  <si>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</si>
  <si>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</si>
  <si>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</si>
  <si>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</si>
  <si>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</si>
  <si>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</si>
  <si>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</si>
  <si>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</si>
  <si>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</si>
  <si>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</si>
  <si>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</si>
  <si>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</si>
  <si>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</si>
  <si>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</si>
  <si>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</si>
  <si>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</si>
  <si>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</si>
  <si>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</si>
  <si>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</si>
  <si>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</si>
  <si>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</si>
  <si>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</si>
  <si>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</si>
  <si>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</si>
  <si>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</si>
  <si>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</si>
  <si>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</si>
  <si>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</si>
  <si>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</si>
  <si>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</si>
  <si>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</si>
  <si>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</si>
  <si>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</si>
  <si>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</si>
  <si>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</si>
  <si>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</si>
  <si>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</si>
  <si>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</si>
  <si>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</si>
  <si>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</si>
  <si>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</si>
  <si>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</si>
  <si>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</si>
  <si>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</si>
  <si>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</si>
  <si>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</si>
  <si>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</si>
  <si>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</si>
  <si>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</si>
  <si>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</si>
  <si>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</si>
  <si>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</si>
  <si>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</si>
  <si>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</si>
  <si>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</si>
  <si>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</si>
  <si>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</si>
  <si>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</si>
  <si>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</si>
  <si>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</si>
  <si>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</si>
  <si>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</si>
  <si>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</si>
  <si>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</si>
  <si>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</si>
  <si>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</si>
  <si>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</si>
  <si>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</si>
  <si>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</si>
  <si>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</si>
  <si>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</si>
  <si>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</si>
  <si>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</si>
  <si>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</si>
  <si>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</si>
  <si>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</si>
  <si>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</si>
  <si>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</si>
  <si>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</si>
  <si>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</si>
  <si>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</si>
  <si>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</si>
  <si>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</si>
  <si>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</si>
  <si>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</si>
  <si>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</si>
  <si>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</si>
  <si>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</si>
  <si>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</si>
  <si>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</si>
  <si>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</si>
  <si>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</si>
  <si>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</si>
  <si>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</si>
  <si>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</si>
  <si>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</si>
  <si>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</si>
  <si>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</si>
  <si>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</si>
  <si>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</si>
  <si>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</si>
  <si>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</si>
  <si>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</si>
  <si>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</si>
  <si>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</si>
  <si>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</si>
  <si>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</si>
  <si>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</si>
  <si>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</si>
  <si>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</si>
  <si>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</si>
  <si>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</si>
  <si>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</si>
  <si>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</si>
  <si>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</si>
  <si>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</si>
  <si>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</si>
  <si>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</si>
  <si>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</si>
  <si>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</si>
  <si>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</si>
  <si>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</si>
  <si>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</si>
  <si>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</si>
  <si>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</si>
  <si>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</si>
  <si>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</si>
  <si>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</si>
  <si>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</si>
  <si>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</si>
  <si>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</si>
  <si>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</si>
  <si>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</si>
  <si>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</si>
  <si>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</si>
  <si>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</si>
  <si>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</si>
  <si>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</si>
  <si>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</si>
  <si>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</si>
  <si>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</si>
  <si>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</si>
  <si>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</si>
  <si>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</si>
  <si>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</si>
  <si>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</si>
  <si>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</si>
  <si>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</si>
  <si>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</si>
  <si>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</si>
  <si>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</si>
  <si>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</si>
  <si>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</si>
  <si>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</si>
  <si>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</si>
  <si>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</si>
  <si>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</si>
  <si>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</si>
  <si>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</si>
  <si>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</si>
  <si>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</si>
  <si>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</si>
  <si>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</si>
  <si>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</si>
  <si>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</si>
  <si>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</si>
  <si>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</si>
  <si>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</si>
  <si>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</si>
  <si>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</si>
  <si>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</si>
  <si>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</si>
  <si>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</si>
  <si>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</si>
  <si>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</si>
  <si>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</si>
  <si>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</si>
  <si>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</si>
  <si>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</si>
  <si>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</si>
  <si>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</si>
  <si>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</si>
  <si>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</si>
  <si>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</si>
  <si>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</si>
  <si>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</si>
  <si>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</si>
  <si>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</si>
  <si>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</si>
  <si>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</si>
  <si>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</si>
  <si>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</si>
  <si>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</si>
  <si>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</si>
  <si>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</si>
  <si>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</si>
  <si>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</si>
  <si>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</si>
  <si>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</si>
  <si>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</si>
  <si>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</si>
  <si>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</si>
  <si>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</si>
  <si>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</si>
  <si>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</si>
  <si>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</si>
  <si>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</si>
  <si>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</si>
  <si>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</si>
  <si>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</si>
  <si>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</si>
  <si>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</si>
  <si>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</si>
  <si>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</si>
  <si>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</si>
  <si>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</si>
  <si>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</si>
  <si>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</si>
  <si>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</si>
  <si>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</si>
  <si>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</si>
  <si>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</si>
  <si>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</si>
  <si>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</si>
  <si>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</si>
  <si>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</si>
  <si>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</si>
  <si>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</si>
  <si>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</si>
  <si>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</si>
  <si>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</si>
  <si>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</si>
  <si>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</si>
  <si>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</si>
  <si>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</si>
  <si>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</si>
  <si>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</si>
  <si>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</si>
  <si>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</si>
  <si>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</si>
  <si>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</si>
  <si>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</si>
  <si>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</si>
  <si>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</si>
  <si>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</si>
  <si>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</si>
  <si>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</si>
  <si>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</si>
  <si>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</si>
  <si>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</si>
  <si>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</si>
  <si>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</si>
  <si>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</si>
  <si>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</si>
  <si>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</si>
  <si>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</si>
  <si>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</si>
  <si>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</si>
  <si>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</si>
  <si>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</si>
  <si>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</si>
  <si>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</si>
  <si>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</si>
  <si>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</si>
  <si>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</si>
  <si>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</si>
  <si>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</si>
  <si>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</si>
  <si>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</si>
  <si>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</si>
  <si>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</si>
  <si>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</si>
  <si>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</si>
  <si>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</si>
  <si>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</si>
  <si>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</si>
  <si>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</si>
  <si>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</si>
  <si>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</si>
  <si>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</si>
  <si>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</si>
  <si>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</si>
  <si>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</si>
  <si>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</si>
  <si>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</si>
  <si>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</si>
  <si>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</si>
  <si>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</si>
  <si>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</si>
  <si>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</si>
  <si>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</si>
  <si>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</si>
  <si>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</si>
  <si>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</si>
  <si>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</si>
  <si>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</si>
  <si>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</si>
  <si>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</si>
  <si>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</si>
  <si>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</si>
  <si>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</si>
  <si>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</si>
  <si>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</si>
  <si>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</si>
  <si>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</si>
  <si>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</si>
  <si>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</si>
  <si>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</si>
  <si>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</si>
  <si>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</si>
  <si>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</si>
  <si>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</si>
  <si>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</si>
  <si>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</si>
  <si>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</si>
  <si>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</si>
  <si>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</si>
  <si>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</si>
  <si>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</si>
  <si>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</si>
  <si>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</si>
  <si>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</si>
  <si>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</si>
  <si>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</si>
  <si>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</si>
  <si>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</si>
  <si>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</si>
  <si>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</si>
  <si>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</si>
  <si>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</si>
  <si>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</si>
  <si>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</si>
  <si>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</si>
  <si>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</si>
  <si>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</si>
  <si>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</si>
  <si>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</si>
  <si>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</si>
  <si>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</si>
  <si>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</si>
  <si>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</si>
  <si>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</si>
  <si>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</si>
  <si>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</si>
  <si>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</si>
  <si>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</si>
  <si>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</si>
  <si>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</si>
  <si>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</si>
  <si>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</si>
  <si>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</si>
  <si>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</si>
  <si>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</si>
  <si>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</si>
  <si>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</si>
  <si>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</si>
  <si>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</si>
  <si>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</si>
  <si>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</si>
  <si>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</si>
  <si>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</si>
  <si>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</si>
  <si>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</si>
  <si>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</si>
  <si>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</si>
  <si>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</si>
  <si>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</si>
  <si>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</si>
  <si>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</si>
  <si>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</si>
  <si>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</si>
  <si>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</si>
  <si>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</si>
  <si>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</si>
  <si>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</si>
  <si>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</si>
  <si>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</si>
  <si>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</si>
  <si>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</si>
  <si>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</si>
  <si>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</si>
  <si>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</si>
  <si>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</si>
  <si>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</si>
  <si>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</si>
  <si>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</si>
  <si>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</si>
  <si>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</si>
  <si>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</si>
  <si>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</si>
  <si>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</si>
  <si>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</si>
  <si>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</si>
  <si>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</si>
  <si>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</si>
  <si>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</si>
  <si>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</si>
  <si>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</si>
  <si>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</si>
  <si>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</si>
  <si>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</si>
  <si>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</si>
  <si>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</si>
  <si>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</si>
  <si>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</si>
  <si>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</si>
  <si>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</si>
  <si>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</si>
  <si>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</si>
  <si>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</si>
  <si>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</si>
  <si>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</si>
  <si>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</si>
  <si>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</si>
  <si>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</si>
  <si>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</si>
  <si>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</si>
  <si>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</si>
  <si>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</si>
  <si>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</si>
  <si>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</si>
  <si>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</si>
  <si>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</si>
  <si>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</si>
  <si>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</si>
  <si>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</si>
  <si>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</si>
  <si>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2026-10-18</t>
  </si>
  <si>
    <t>שלמה פילבר</t>
  </si>
  <si>
    <t>559</t>
  </si>
  <si>
    <t>דודי חסיד</t>
  </si>
  <si>
    <t>554</t>
  </si>
  <si>
    <t>2026-10-16</t>
  </si>
  <si>
    <t>מנחם לזר</t>
  </si>
  <si>
    <t>700</t>
  </si>
  <si>
    <t>2026-10-15</t>
  </si>
  <si>
    <t>551</t>
  </si>
  <si>
    <t>יוסי טאטיקה</t>
  </si>
  <si>
    <t>500</t>
  </si>
  <si>
    <t>2026-10-14</t>
  </si>
  <si>
    <t>המדד</t>
  </si>
  <si>
    <t>1018</t>
  </si>
  <si>
    <t>2026-10-13</t>
  </si>
  <si>
    <t>יצחק כ״ץ</t>
  </si>
  <si>
    <t>2026-10-12</t>
  </si>
  <si>
    <t>מנו גבע</t>
  </si>
  <si>
    <t>509</t>
  </si>
  <si>
    <t>2026-10-08</t>
  </si>
  <si>
    <t>צוריאל שרון</t>
  </si>
  <si>
    <t>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</si>
</sst>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20.7</v>
      </c>
      <c r="C2">
        <f t="shared" ref="C2:C19" si="0">ROUND(B2,0)</f>
        <v>21</v>
      </c>
      <c r="D2">
        <f t="shared" ref="D2:D19" si="1">IF(C2&lt;=3,0,C2)</f>
        <v>21</v>
      </c>
    </row>
    <row r="3" spans="1:4" ht="15" customHeight="1">
      <c r="A3" t="s">
        <v>21</v>
      </c>
      <c r="B3">
        <v>22.1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11.8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8.8000000000000007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7.7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8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7.5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8.1</v>
      </c>
      <c r="C10">
        <f t="shared" si="0"/>
        <v>8</v>
      </c>
      <c r="D10">
        <f t="shared" si="1"/>
        <v>8</v>
      </c>
    </row>
    <row r="11" spans="1:4" ht="15" customHeight="1">
      <c r="A11" t="s">
        <v>17</v>
      </c>
      <c r="B11">
        <v>6.2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3.4</v>
      </c>
      <c r="C16">
        <f t="shared" si="0"/>
        <v>3</v>
      </c>
      <c r="D16">
        <f t="shared" si="1"/>
        <v>0</v>
      </c>
    </row>
    <row r="17" spans="1:4">
      <c r="A17" t="s">
        <v>23</v>
      </c>
      <c r="B17">
        <v>4</v>
      </c>
      <c r="C17">
        <f t="shared" si="0"/>
        <v>4</v>
      </c>
      <c r="D17">
        <f t="shared" si="1"/>
        <v>4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1513</v>
      </c>
      <c r="B108">
        <v>5</v>
      </c>
      <c r="C108" t="s">
        <v>1645</v>
      </c>
      <c r="D108" t="s">
        <v>1488</v>
      </c>
    </row>
    <row r="109" spans="1:5" ht="15" customHeight="1">
      <c r="A109" t="s">
        <v>1513</v>
      </c>
      <c r="B109">
        <v>6</v>
      </c>
      <c r="C109" t="s">
        <v>1646</v>
      </c>
      <c r="D109" t="s">
        <v>1488</v>
      </c>
    </row>
    <row r="110" spans="1:5" ht="15" customHeight="1">
      <c r="A110" t="s">
        <v>1513</v>
      </c>
      <c r="B110">
        <v>7</v>
      </c>
      <c r="C110" t="s">
        <v>1647</v>
      </c>
      <c r="D110" t="s">
        <v>1488</v>
      </c>
    </row>
    <row r="111" spans="1:5" ht="15" customHeight="1">
      <c r="A111" t="s">
        <v>17</v>
      </c>
      <c r="B111">
        <v>1</v>
      </c>
      <c r="C111" t="s">
        <v>1648</v>
      </c>
      <c r="D111" t="s">
        <v>1488</v>
      </c>
      <c r="E111" t="s">
        <v>1649</v>
      </c>
    </row>
    <row r="112" spans="1:5" ht="15" customHeight="1">
      <c r="A112" t="s">
        <v>17</v>
      </c>
      <c r="B112">
        <v>2</v>
      </c>
      <c r="C112" t="s">
        <v>1650</v>
      </c>
      <c r="D112" t="s">
        <v>1488</v>
      </c>
      <c r="E112" t="s">
        <v>1649</v>
      </c>
    </row>
    <row r="113" spans="1:5" ht="15" customHeight="1">
      <c r="A113" t="s">
        <v>17</v>
      </c>
      <c r="B113">
        <v>3</v>
      </c>
      <c r="C113" t="s">
        <v>1651</v>
      </c>
      <c r="D113" t="s">
        <v>1487</v>
      </c>
      <c r="E113" t="s">
        <v>1649</v>
      </c>
    </row>
    <row r="114" spans="1:5" ht="15" customHeight="1">
      <c r="A114" t="s">
        <v>17</v>
      </c>
      <c r="B114">
        <v>4</v>
      </c>
      <c r="C114" t="s">
        <v>1652</v>
      </c>
      <c r="D114" t="s">
        <v>1488</v>
      </c>
      <c r="E114" t="s">
        <v>1649</v>
      </c>
    </row>
    <row r="115" spans="1:5" ht="15" customHeight="1">
      <c r="A115" t="s">
        <v>17</v>
      </c>
      <c r="B115">
        <v>5</v>
      </c>
      <c r="C115" t="s">
        <v>1653</v>
      </c>
      <c r="D115" t="s">
        <v>1488</v>
      </c>
      <c r="E115" t="s">
        <v>1649</v>
      </c>
    </row>
    <row r="116" spans="1:5" ht="15" customHeight="1">
      <c r="A116" t="s">
        <v>17</v>
      </c>
      <c r="B116">
        <v>6</v>
      </c>
      <c r="C116" t="s">
        <v>1654</v>
      </c>
      <c r="D116" t="s">
        <v>1488</v>
      </c>
      <c r="E116" t="s">
        <v>1649</v>
      </c>
    </row>
    <row r="117" spans="1:5" ht="15" customHeight="1">
      <c r="A117" t="s">
        <v>17</v>
      </c>
      <c r="B117">
        <v>7</v>
      </c>
      <c r="C117" t="s">
        <v>1655</v>
      </c>
      <c r="D117" t="s">
        <v>1488</v>
      </c>
      <c r="E117" t="s">
        <v>1649</v>
      </c>
    </row>
    <row r="118" spans="1:5" ht="15" customHeight="1">
      <c r="A118" t="s">
        <v>17</v>
      </c>
      <c r="B118">
        <v>8</v>
      </c>
      <c r="C118" t="s">
        <v>1656</v>
      </c>
      <c r="D118" t="s">
        <v>1488</v>
      </c>
      <c r="E118" t="s">
        <v>1649</v>
      </c>
    </row>
    <row r="119" spans="1:5" ht="15" customHeight="1">
      <c r="A119" t="s">
        <v>17</v>
      </c>
      <c r="B119">
        <v>9</v>
      </c>
      <c r="C119" t="s">
        <v>1657</v>
      </c>
      <c r="D119" t="s">
        <v>1487</v>
      </c>
    </row>
    <row r="120" spans="1:5" ht="15" customHeight="1">
      <c r="A120" t="s">
        <v>17</v>
      </c>
      <c r="B120">
        <v>10</v>
      </c>
      <c r="C120" t="s">
        <v>1658</v>
      </c>
      <c r="D120" t="s">
        <v>1487</v>
      </c>
    </row>
    <row r="121" spans="1:5" ht="15" customHeight="1">
      <c r="A121" t="s">
        <v>17</v>
      </c>
      <c r="B121">
        <v>11</v>
      </c>
      <c r="C121" t="s">
        <v>1659</v>
      </c>
      <c r="D121" t="s">
        <v>1488</v>
      </c>
    </row>
    <row r="122" spans="1:5" ht="15" customHeight="1">
      <c r="A122" t="s">
        <v>17</v>
      </c>
      <c r="B122">
        <v>12</v>
      </c>
      <c r="C122" t="s">
        <v>1660</v>
      </c>
      <c r="D122" t="s">
        <v>1488</v>
      </c>
    </row>
    <row r="123" spans="1:5" ht="15" customHeight="1">
      <c r="A123" t="s">
        <v>17</v>
      </c>
      <c r="B123">
        <v>13</v>
      </c>
      <c r="C123" t="s">
        <v>1661</v>
      </c>
      <c r="D123" t="s">
        <v>1488</v>
      </c>
    </row>
    <row r="124" spans="1:5" ht="15" customHeight="1">
      <c r="A124" t="s">
        <v>17</v>
      </c>
      <c r="B124">
        <v>14</v>
      </c>
      <c r="C124" t="s">
        <v>1662</v>
      </c>
      <c r="D124" t="s">
        <v>1488</v>
      </c>
    </row>
    <row r="125" spans="1:5" ht="15" customHeight="1">
      <c r="A125" t="s">
        <v>17</v>
      </c>
      <c r="B125">
        <v>15</v>
      </c>
      <c r="C125" t="s">
        <v>1663</v>
      </c>
      <c r="D125" t="s">
        <v>1488</v>
      </c>
    </row>
    <row r="126" spans="1:5" ht="15" customHeight="1">
      <c r="A126" t="s">
        <v>17</v>
      </c>
      <c r="B126">
        <v>16</v>
      </c>
      <c r="C126" t="s">
        <v>1664</v>
      </c>
      <c r="D126" t="s">
        <v>1488</v>
      </c>
    </row>
    <row r="127" spans="1:5" ht="15" customHeight="1">
      <c r="A127" t="s">
        <v>17</v>
      </c>
      <c r="B127">
        <v>17</v>
      </c>
      <c r="C127" t="s">
        <v>1665</v>
      </c>
      <c r="D127" t="s">
        <v>1487</v>
      </c>
    </row>
    <row r="128" spans="1:5" ht="15" customHeight="1">
      <c r="A128" t="s">
        <v>17</v>
      </c>
      <c r="B128">
        <v>18</v>
      </c>
      <c r="C128" t="s">
        <v>1666</v>
      </c>
      <c r="D128" t="s">
        <v>1488</v>
      </c>
    </row>
    <row r="129" spans="1:5" ht="15" customHeight="1">
      <c r="A129" t="s">
        <v>14</v>
      </c>
      <c r="B129">
        <v>1</v>
      </c>
      <c r="C129" t="s">
        <v>1667</v>
      </c>
      <c r="D129" t="s">
        <v>1488</v>
      </c>
      <c r="E129" t="s">
        <v>1668</v>
      </c>
    </row>
    <row r="130" spans="1:5" ht="15" customHeight="1">
      <c r="A130" t="s">
        <v>14</v>
      </c>
      <c r="B130">
        <v>2</v>
      </c>
      <c r="C130" t="s">
        <v>1669</v>
      </c>
      <c r="D130" t="s">
        <v>1488</v>
      </c>
      <c r="E130" t="s">
        <v>1668</v>
      </c>
    </row>
    <row r="131" spans="1:5" ht="15" customHeight="1">
      <c r="A131" t="s">
        <v>14</v>
      </c>
      <c r="B131">
        <v>3</v>
      </c>
      <c r="C131" t="s">
        <v>1670</v>
      </c>
      <c r="D131" t="s">
        <v>1488</v>
      </c>
      <c r="E131" t="s">
        <v>1668</v>
      </c>
    </row>
    <row r="132" spans="1:5" ht="15" customHeight="1">
      <c r="A132" t="s">
        <v>14</v>
      </c>
      <c r="B132">
        <v>4</v>
      </c>
      <c r="C132" t="s">
        <v>1671</v>
      </c>
      <c r="D132" t="s">
        <v>1488</v>
      </c>
      <c r="E132" t="s">
        <v>1668</v>
      </c>
    </row>
    <row r="133" spans="1:5" ht="15" customHeight="1">
      <c r="A133" t="s">
        <v>14</v>
      </c>
      <c r="B133">
        <v>5</v>
      </c>
      <c r="C133" t="s">
        <v>1672</v>
      </c>
      <c r="D133" t="s">
        <v>1488</v>
      </c>
      <c r="E133" t="s">
        <v>1668</v>
      </c>
    </row>
    <row r="134" spans="1:5" ht="15" customHeight="1">
      <c r="A134" t="s">
        <v>14</v>
      </c>
      <c r="B134">
        <v>6</v>
      </c>
      <c r="C134" t="s">
        <v>1673</v>
      </c>
      <c r="D134" t="s">
        <v>1488</v>
      </c>
      <c r="E134" t="s">
        <v>1668</v>
      </c>
    </row>
    <row r="135" spans="1:5" ht="15" customHeight="1">
      <c r="A135" t="s">
        <v>14</v>
      </c>
      <c r="B135">
        <v>7</v>
      </c>
      <c r="C135" t="s">
        <v>1674</v>
      </c>
      <c r="D135" t="s">
        <v>1487</v>
      </c>
      <c r="E135" t="s">
        <v>1668</v>
      </c>
    </row>
    <row r="136" spans="1:5" ht="15" customHeight="1">
      <c r="A136" t="s">
        <v>14</v>
      </c>
      <c r="B136">
        <v>8</v>
      </c>
      <c r="C136" t="s">
        <v>1675</v>
      </c>
      <c r="D136" t="s">
        <v>1488</v>
      </c>
      <c r="E136" t="s">
        <v>1668</v>
      </c>
    </row>
    <row r="137" spans="1:5" ht="15" customHeight="1">
      <c r="A137" t="s">
        <v>14</v>
      </c>
      <c r="B137">
        <v>9</v>
      </c>
      <c r="C137" t="s">
        <v>1676</v>
      </c>
      <c r="D137" t="s">
        <v>1487</v>
      </c>
      <c r="E137" t="s">
        <v>1668</v>
      </c>
    </row>
    <row r="138" spans="1:5" ht="15" customHeight="1">
      <c r="A138" t="s">
        <v>14</v>
      </c>
      <c r="B138">
        <v>10</v>
      </c>
      <c r="C138" t="s">
        <v>1677</v>
      </c>
      <c r="D138" t="s">
        <v>1488</v>
      </c>
      <c r="E138" t="s">
        <v>1668</v>
      </c>
    </row>
    <row r="139" spans="1:5" ht="15" customHeight="1">
      <c r="A139" t="s">
        <v>11</v>
      </c>
      <c r="B139">
        <v>1</v>
      </c>
      <c r="C139" t="s">
        <v>1678</v>
      </c>
      <c r="D139" t="s">
        <v>1488</v>
      </c>
      <c r="E139" t="s">
        <v>1679</v>
      </c>
    </row>
    <row r="140" spans="1:5" ht="15" customHeight="1">
      <c r="A140" t="s">
        <v>11</v>
      </c>
      <c r="B140">
        <v>2</v>
      </c>
      <c r="C140" t="s">
        <v>1680</v>
      </c>
      <c r="D140" t="s">
        <v>1488</v>
      </c>
      <c r="E140" t="s">
        <v>1679</v>
      </c>
    </row>
    <row r="141" spans="1:5" ht="15" customHeight="1">
      <c r="A141" t="s">
        <v>11</v>
      </c>
      <c r="B141">
        <v>3</v>
      </c>
      <c r="C141" t="s">
        <v>1681</v>
      </c>
      <c r="D141" t="s">
        <v>1488</v>
      </c>
      <c r="E141" t="s">
        <v>1679</v>
      </c>
    </row>
    <row r="142" spans="1:5" ht="15" customHeight="1">
      <c r="A142" t="s">
        <v>11</v>
      </c>
      <c r="B142">
        <v>4</v>
      </c>
      <c r="C142" t="s">
        <v>1682</v>
      </c>
      <c r="D142" t="s">
        <v>1488</v>
      </c>
      <c r="E142" t="s">
        <v>1679</v>
      </c>
    </row>
    <row r="143" spans="1:5" ht="15" customHeight="1">
      <c r="A143" t="s">
        <v>11</v>
      </c>
      <c r="B143">
        <v>5</v>
      </c>
      <c r="C143" t="s">
        <v>1683</v>
      </c>
      <c r="D143" t="s">
        <v>1488</v>
      </c>
      <c r="E143" t="s">
        <v>1679</v>
      </c>
    </row>
    <row r="144" spans="1:5" ht="15" customHeight="1">
      <c r="A144" t="s">
        <v>11</v>
      </c>
      <c r="B144">
        <v>6</v>
      </c>
      <c r="C144" t="s">
        <v>1684</v>
      </c>
      <c r="D144" t="s">
        <v>1488</v>
      </c>
      <c r="E144" t="s">
        <v>1679</v>
      </c>
    </row>
    <row r="145" spans="1:5" ht="15" customHeight="1">
      <c r="A145" t="s">
        <v>11</v>
      </c>
      <c r="B145">
        <v>7</v>
      </c>
      <c r="C145" t="s">
        <v>1685</v>
      </c>
      <c r="D145" t="s">
        <v>1488</v>
      </c>
      <c r="E145" t="s">
        <v>1679</v>
      </c>
    </row>
    <row r="146" spans="1:5" ht="15" customHeight="1">
      <c r="A146" t="s">
        <v>11</v>
      </c>
      <c r="B146">
        <v>8</v>
      </c>
      <c r="C146" t="s">
        <v>1686</v>
      </c>
      <c r="D146" t="s">
        <v>1488</v>
      </c>
      <c r="E146" t="s">
        <v>1679</v>
      </c>
    </row>
    <row r="147" spans="1:5" ht="15" customHeight="1">
      <c r="A147" t="s">
        <v>11</v>
      </c>
      <c r="B147">
        <v>9</v>
      </c>
      <c r="C147" t="s">
        <v>1687</v>
      </c>
      <c r="D147" t="s">
        <v>1488</v>
      </c>
      <c r="E147" t="s">
        <v>1679</v>
      </c>
    </row>
    <row r="148" spans="1:5" ht="15" customHeight="1">
      <c r="A148" t="s">
        <v>21</v>
      </c>
      <c r="B148">
        <v>1</v>
      </c>
      <c r="C148" t="s">
        <v>1688</v>
      </c>
      <c r="D148" t="s">
        <v>1488</v>
      </c>
    </row>
    <row r="149" spans="1:5" ht="15" customHeight="1">
      <c r="A149" t="s">
        <v>21</v>
      </c>
      <c r="B149">
        <v>2</v>
      </c>
      <c r="C149" t="s">
        <v>1689</v>
      </c>
      <c r="D149" t="s">
        <v>1488</v>
      </c>
    </row>
    <row r="150" spans="1:5">
      <c r="A150" t="s">
        <v>21</v>
      </c>
      <c r="B150">
        <v>3</v>
      </c>
      <c r="C150" t="s">
        <v>1690</v>
      </c>
      <c r="D150" t="s">
        <v>1487</v>
      </c>
    </row>
    <row r="151" spans="1:5">
      <c r="A151" t="s">
        <v>21</v>
      </c>
      <c r="B151">
        <v>4</v>
      </c>
      <c r="C151" t="s">
        <v>1691</v>
      </c>
      <c r="D151" t="s">
        <v>1487</v>
      </c>
    </row>
    <row r="152" spans="1:5">
      <c r="A152" t="s">
        <v>21</v>
      </c>
      <c r="B152">
        <v>5</v>
      </c>
      <c r="C152" t="s">
        <v>1692</v>
      </c>
      <c r="D152" t="s">
        <v>1488</v>
      </c>
    </row>
    <row r="153" spans="1:5">
      <c r="A153" t="s">
        <v>21</v>
      </c>
      <c r="B153">
        <v>6</v>
      </c>
      <c r="C153" t="s">
        <v>1693</v>
      </c>
      <c r="D153" t="s">
        <v>1488</v>
      </c>
    </row>
    <row r="154" spans="1:5">
      <c r="A154" t="s">
        <v>21</v>
      </c>
      <c r="B154">
        <v>7</v>
      </c>
      <c r="C154" t="s">
        <v>1694</v>
      </c>
      <c r="D154" t="s">
        <v>1488</v>
      </c>
    </row>
    <row r="155" spans="1:5">
      <c r="A155" t="s">
        <v>21</v>
      </c>
      <c r="B155">
        <v>8</v>
      </c>
      <c r="C155" t="s">
        <v>1695</v>
      </c>
      <c r="D155" t="s">
        <v>1487</v>
      </c>
    </row>
    <row r="156" spans="1:5">
      <c r="A156" t="s">
        <v>21</v>
      </c>
      <c r="B156">
        <v>9</v>
      </c>
      <c r="C156" t="s">
        <v>1696</v>
      </c>
      <c r="D156" t="s">
        <v>1487</v>
      </c>
    </row>
    <row r="157" spans="1:5">
      <c r="A157" t="s">
        <v>21</v>
      </c>
      <c r="B157">
        <v>10</v>
      </c>
      <c r="C157" t="s">
        <v>1697</v>
      </c>
      <c r="D157" t="s">
        <v>1487</v>
      </c>
    </row>
    <row r="158" spans="1:5">
      <c r="A158" t="s">
        <v>21</v>
      </c>
      <c r="B158">
        <v>11</v>
      </c>
      <c r="C158" t="s">
        <v>1698</v>
      </c>
      <c r="D158" t="s">
        <v>1487</v>
      </c>
    </row>
    <row r="159" spans="1:5">
      <c r="A159" t="s">
        <v>21</v>
      </c>
      <c r="B159">
        <v>12</v>
      </c>
      <c r="C159" t="s">
        <v>1699</v>
      </c>
      <c r="D159" t="s">
        <v>1488</v>
      </c>
    </row>
    <row r="160" spans="1:5">
      <c r="A160" t="s">
        <v>21</v>
      </c>
      <c r="B160">
        <v>13</v>
      </c>
      <c r="C160" t="s">
        <v>1700</v>
      </c>
      <c r="D160" t="s">
        <v>1488</v>
      </c>
    </row>
    <row r="161" spans="1:4">
      <c r="A161" t="s">
        <v>21</v>
      </c>
      <c r="B161">
        <v>14</v>
      </c>
      <c r="C161" t="s">
        <v>1701</v>
      </c>
      <c r="D161" t="s">
        <v>1487</v>
      </c>
    </row>
    <row r="162" spans="1:4">
      <c r="A162" t="s">
        <v>21</v>
      </c>
      <c r="B162">
        <v>15</v>
      </c>
      <c r="C162" t="s">
        <v>1702</v>
      </c>
      <c r="D162" t="s">
        <v>1487</v>
      </c>
    </row>
    <row r="163" spans="1:4">
      <c r="A163" t="s">
        <v>21</v>
      </c>
      <c r="B163">
        <v>16</v>
      </c>
      <c r="C163" t="s">
        <v>1703</v>
      </c>
      <c r="D163" t="s">
        <v>1487</v>
      </c>
    </row>
    <row r="164" spans="1:4">
      <c r="A164" t="s">
        <v>21</v>
      </c>
      <c r="B164">
        <v>17</v>
      </c>
      <c r="C164" t="s">
        <v>1704</v>
      </c>
      <c r="D164" t="s">
        <v>1488</v>
      </c>
    </row>
    <row r="165" spans="1:4">
      <c r="A165" t="s">
        <v>21</v>
      </c>
      <c r="B165">
        <v>18</v>
      </c>
      <c r="C165" t="s">
        <v>1705</v>
      </c>
      <c r="D165" t="s">
        <v>1488</v>
      </c>
    </row>
    <row r="166" spans="1:4">
      <c r="A166" t="s">
        <v>21</v>
      </c>
      <c r="B166">
        <v>19</v>
      </c>
      <c r="C166" t="s">
        <v>1706</v>
      </c>
      <c r="D166" t="s">
        <v>1487</v>
      </c>
    </row>
    <row r="167" spans="1:4">
      <c r="A167" t="s">
        <v>21</v>
      </c>
      <c r="B167">
        <v>20</v>
      </c>
      <c r="C167" t="s">
        <v>1707</v>
      </c>
      <c r="D167" t="s">
        <v>1488</v>
      </c>
    </row>
    <row r="168" spans="1:4">
      <c r="A168" t="s">
        <v>21</v>
      </c>
      <c r="B168">
        <v>21</v>
      </c>
      <c r="C168" t="s">
        <v>1708</v>
      </c>
      <c r="D168" t="s">
        <v>1487</v>
      </c>
    </row>
    <row r="169" spans="1:4">
      <c r="A169" t="s">
        <v>21</v>
      </c>
      <c r="B169">
        <v>22</v>
      </c>
      <c r="C169" t="s">
        <v>1709</v>
      </c>
      <c r="D169" t="s">
        <v>1488</v>
      </c>
    </row>
    <row r="170" spans="1:4">
      <c r="A170" t="s">
        <v>21</v>
      </c>
      <c r="B170">
        <v>23</v>
      </c>
      <c r="C170" t="s">
        <v>1710</v>
      </c>
      <c r="D170" t="s">
        <v>1488</v>
      </c>
    </row>
    <row r="171" spans="1:4">
      <c r="A171" t="s">
        <v>21</v>
      </c>
      <c r="B171">
        <v>24</v>
      </c>
      <c r="C171" t="s">
        <v>1711</v>
      </c>
      <c r="D171" t="s">
        <v>1487</v>
      </c>
    </row>
    <row r="172" spans="1:4">
      <c r="A172" t="s">
        <v>21</v>
      </c>
      <c r="B172">
        <v>25</v>
      </c>
      <c r="C172" t="s">
        <v>1712</v>
      </c>
      <c r="D172" t="s">
        <v>1487</v>
      </c>
    </row>
    <row r="173" spans="1:4">
      <c r="A173" t="s">
        <v>21</v>
      </c>
      <c r="B173">
        <v>26</v>
      </c>
      <c r="C173" t="s">
        <v>1713</v>
      </c>
      <c r="D173" t="s">
        <v>1488</v>
      </c>
    </row>
    <row r="174" spans="1:4">
      <c r="A174" t="s">
        <v>21</v>
      </c>
      <c r="B174">
        <v>27</v>
      </c>
      <c r="C174" t="s">
        <v>1714</v>
      </c>
      <c r="D174" t="s">
        <v>1488</v>
      </c>
    </row>
    <row r="175" spans="1:4">
      <c r="A175" t="s">
        <v>21</v>
      </c>
      <c r="B175">
        <v>28</v>
      </c>
      <c r="C175" t="s">
        <v>1715</v>
      </c>
      <c r="D175" t="s">
        <v>1487</v>
      </c>
    </row>
    <row r="176" spans="1:4">
      <c r="A176" t="s">
        <v>21</v>
      </c>
      <c r="B176">
        <v>29</v>
      </c>
      <c r="C176" t="s">
        <v>1716</v>
      </c>
      <c r="D176" t="s">
        <v>1488</v>
      </c>
    </row>
    <row r="177" spans="1:5">
      <c r="A177" t="s">
        <v>21</v>
      </c>
      <c r="B177">
        <v>30</v>
      </c>
      <c r="C177" t="s">
        <v>1717</v>
      </c>
      <c r="D177" t="s">
        <v>1487</v>
      </c>
    </row>
    <row r="178" spans="1:5">
      <c r="A178" t="s">
        <v>21</v>
      </c>
      <c r="B178">
        <v>31</v>
      </c>
      <c r="C178" t="s">
        <v>1718</v>
      </c>
      <c r="D178" t="s">
        <v>1488</v>
      </c>
    </row>
    <row r="179" spans="1:5">
      <c r="A179" t="s">
        <v>21</v>
      </c>
      <c r="B179">
        <v>32</v>
      </c>
      <c r="C179" t="s">
        <v>1719</v>
      </c>
      <c r="D179" t="s">
        <v>1487</v>
      </c>
    </row>
    <row r="180" spans="1:5">
      <c r="A180" t="s">
        <v>21</v>
      </c>
      <c r="B180">
        <v>33</v>
      </c>
      <c r="C180" t="s">
        <v>1720</v>
      </c>
      <c r="D180" t="s">
        <v>1488</v>
      </c>
    </row>
    <row r="181" spans="1:5">
      <c r="A181" t="s">
        <v>21</v>
      </c>
      <c r="B181">
        <v>34</v>
      </c>
      <c r="C181" t="s">
        <v>1721</v>
      </c>
      <c r="D181" t="s">
        <v>1487</v>
      </c>
    </row>
    <row r="182" spans="1:5">
      <c r="A182" t="s">
        <v>21</v>
      </c>
      <c r="B182">
        <v>35</v>
      </c>
      <c r="C182" t="s">
        <v>1722</v>
      </c>
      <c r="D182" t="s">
        <v>1488</v>
      </c>
    </row>
    <row r="183" spans="1:5">
      <c r="A183" t="s">
        <v>21</v>
      </c>
      <c r="B183">
        <v>36</v>
      </c>
      <c r="C183" t="s">
        <v>1723</v>
      </c>
      <c r="D183" t="s">
        <v>1487</v>
      </c>
    </row>
    <row r="184" spans="1:5">
      <c r="A184" t="s">
        <v>21</v>
      </c>
      <c r="B184">
        <v>37</v>
      </c>
      <c r="C184" t="s">
        <v>1724</v>
      </c>
      <c r="D184" t="s">
        <v>1488</v>
      </c>
    </row>
    <row r="185" spans="1:5">
      <c r="A185" t="s">
        <v>21</v>
      </c>
      <c r="B185">
        <v>38</v>
      </c>
      <c r="C185" t="s">
        <v>1725</v>
      </c>
      <c r="D185" t="s">
        <v>1487</v>
      </c>
    </row>
    <row r="186" spans="1:5">
      <c r="A186" t="s">
        <v>21</v>
      </c>
      <c r="B186">
        <v>39</v>
      </c>
      <c r="C186" t="s">
        <v>1726</v>
      </c>
      <c r="D186" t="s">
        <v>1488</v>
      </c>
    </row>
    <row r="187" spans="1:5">
      <c r="A187" t="s">
        <v>21</v>
      </c>
      <c r="B187">
        <v>40</v>
      </c>
      <c r="C187" t="s">
        <v>1727</v>
      </c>
      <c r="D187" t="s">
        <v>1488</v>
      </c>
    </row>
    <row r="188" spans="1:5">
      <c r="A188" t="s">
        <v>15</v>
      </c>
      <c r="B188">
        <v>1</v>
      </c>
      <c r="C188" t="s">
        <v>1728</v>
      </c>
      <c r="D188" t="s">
        <v>1488</v>
      </c>
      <c r="E188" t="s">
        <v>1729</v>
      </c>
    </row>
    <row r="189" spans="1:5">
      <c r="A189" t="s">
        <v>15</v>
      </c>
      <c r="B189">
        <v>2</v>
      </c>
      <c r="C189" t="s">
        <v>1730</v>
      </c>
      <c r="D189" t="s">
        <v>1488</v>
      </c>
      <c r="E189" t="s">
        <v>1729</v>
      </c>
    </row>
    <row r="190" spans="1:5">
      <c r="A190" t="s">
        <v>15</v>
      </c>
      <c r="B190">
        <v>3</v>
      </c>
      <c r="C190" t="s">
        <v>1731</v>
      </c>
      <c r="D190" t="s">
        <v>1487</v>
      </c>
      <c r="E190" t="s">
        <v>1729</v>
      </c>
    </row>
    <row r="191" spans="1:5">
      <c r="A191" t="s">
        <v>15</v>
      </c>
      <c r="B191">
        <v>4</v>
      </c>
      <c r="C191" t="s">
        <v>1732</v>
      </c>
      <c r="D191" t="s">
        <v>1488</v>
      </c>
      <c r="E191" t="s">
        <v>1729</v>
      </c>
    </row>
    <row r="192" spans="1:5">
      <c r="A192" t="s">
        <v>15</v>
      </c>
      <c r="B192">
        <v>5</v>
      </c>
      <c r="C192" t="s">
        <v>1733</v>
      </c>
      <c r="D192" t="s">
        <v>1487</v>
      </c>
      <c r="E192" t="s">
        <v>1729</v>
      </c>
    </row>
    <row r="193" spans="1:5">
      <c r="A193" t="s">
        <v>15</v>
      </c>
      <c r="B193">
        <v>6</v>
      </c>
      <c r="C193" t="s">
        <v>1734</v>
      </c>
      <c r="D193" t="s">
        <v>1488</v>
      </c>
      <c r="E193" t="s">
        <v>1729</v>
      </c>
    </row>
    <row r="194" spans="1:5">
      <c r="A194" t="s">
        <v>15</v>
      </c>
      <c r="B194">
        <v>7</v>
      </c>
      <c r="C194" t="s">
        <v>1735</v>
      </c>
      <c r="D194" t="s">
        <v>1488</v>
      </c>
      <c r="E194" t="s">
        <v>1729</v>
      </c>
    </row>
    <row r="195" spans="1:5">
      <c r="A195" t="s">
        <v>15</v>
      </c>
      <c r="B195">
        <v>8</v>
      </c>
      <c r="C195" t="s">
        <v>1736</v>
      </c>
      <c r="D195" t="s">
        <v>1488</v>
      </c>
      <c r="E195" t="s">
        <v>1729</v>
      </c>
    </row>
    <row r="196" spans="1:5">
      <c r="A196" t="s">
        <v>15</v>
      </c>
      <c r="B196">
        <v>9</v>
      </c>
      <c r="C196" t="s">
        <v>1737</v>
      </c>
      <c r="D196" t="s">
        <v>1487</v>
      </c>
      <c r="E196" t="s">
        <v>1729</v>
      </c>
    </row>
    <row r="197" spans="1:5">
      <c r="A197" t="s">
        <v>15</v>
      </c>
      <c r="B197">
        <v>10</v>
      </c>
      <c r="C197" t="s">
        <v>1738</v>
      </c>
      <c r="D197" t="s">
        <v>1488</v>
      </c>
      <c r="E197" t="s">
        <v>1729</v>
      </c>
    </row>
    <row r="198" spans="1:5">
      <c r="A198" t="s">
        <v>15</v>
      </c>
      <c r="B198">
        <v>11</v>
      </c>
      <c r="C198" t="s">
        <v>1739</v>
      </c>
      <c r="D198" t="s">
        <v>1487</v>
      </c>
      <c r="E198" t="s">
        <v>1729</v>
      </c>
    </row>
    <row r="199" spans="1:5">
      <c r="A199" t="s">
        <v>15</v>
      </c>
      <c r="B199">
        <v>12</v>
      </c>
      <c r="C199" t="s">
        <v>1740</v>
      </c>
      <c r="D199" t="s">
        <v>1487</v>
      </c>
      <c r="E199" t="s">
        <v>1729</v>
      </c>
    </row>
    <row r="200" spans="1:5">
      <c r="A200" t="s">
        <v>15</v>
      </c>
      <c r="B200">
        <v>13</v>
      </c>
      <c r="C200" t="s">
        <v>1741</v>
      </c>
      <c r="D200" t="s">
        <v>1488</v>
      </c>
      <c r="E200" t="s">
        <v>1729</v>
      </c>
    </row>
    <row r="201" spans="1:5">
      <c r="A201" t="s">
        <v>15</v>
      </c>
      <c r="B201">
        <v>14</v>
      </c>
      <c r="C201" t="s">
        <v>1742</v>
      </c>
      <c r="D201" t="s">
        <v>1487</v>
      </c>
      <c r="E201" t="s">
        <v>1729</v>
      </c>
    </row>
    <row r="202" spans="1:5">
      <c r="A202" t="s">
        <v>15</v>
      </c>
      <c r="B202">
        <v>15</v>
      </c>
      <c r="C202" t="s">
        <v>1743</v>
      </c>
      <c r="D202" t="s">
        <v>1488</v>
      </c>
      <c r="E202" t="s">
        <v>1729</v>
      </c>
    </row>
    <row r="203" spans="1:5">
      <c r="A203" t="s">
        <v>15</v>
      </c>
      <c r="B203">
        <v>16</v>
      </c>
      <c r="C203" t="s">
        <v>1744</v>
      </c>
      <c r="D203" t="s">
        <v>1487</v>
      </c>
      <c r="E203" t="s">
        <v>1729</v>
      </c>
    </row>
    <row r="204" spans="1:5">
      <c r="A204" t="s">
        <v>15</v>
      </c>
      <c r="B204">
        <v>17</v>
      </c>
      <c r="C204" t="s">
        <v>1745</v>
      </c>
      <c r="D204" t="s">
        <v>1487</v>
      </c>
      <c r="E204" t="s">
        <v>1729</v>
      </c>
    </row>
    <row r="205" spans="1:5">
      <c r="A205" t="s">
        <v>15</v>
      </c>
      <c r="B205">
        <v>18</v>
      </c>
      <c r="C205" t="s">
        <v>1746</v>
      </c>
      <c r="D205" t="s">
        <v>1487</v>
      </c>
      <c r="E205" t="s">
        <v>1729</v>
      </c>
    </row>
    <row r="206" spans="1:5">
      <c r="A206" t="s">
        <v>15</v>
      </c>
      <c r="B206">
        <v>19</v>
      </c>
      <c r="C206" t="s">
        <v>1747</v>
      </c>
      <c r="D206" t="s">
        <v>1487</v>
      </c>
      <c r="E206" t="s">
        <v>1729</v>
      </c>
    </row>
    <row r="207" spans="1:5">
      <c r="A207" t="s">
        <v>15</v>
      </c>
      <c r="B207">
        <v>20</v>
      </c>
      <c r="C207" t="s">
        <v>1748</v>
      </c>
      <c r="D207" t="s">
        <v>1488</v>
      </c>
      <c r="E207" t="s">
        <v>1729</v>
      </c>
    </row>
    <row r="208" spans="1:5">
      <c r="A208" t="s">
        <v>13</v>
      </c>
      <c r="B208">
        <v>1</v>
      </c>
      <c r="C208" t="s">
        <v>1749</v>
      </c>
      <c r="D208" t="s">
        <v>1488</v>
      </c>
      <c r="E208" t="s">
        <v>1750</v>
      </c>
    </row>
    <row r="209" spans="1:5">
      <c r="A209" t="s">
        <v>13</v>
      </c>
      <c r="B209">
        <v>2</v>
      </c>
      <c r="C209" t="s">
        <v>1751</v>
      </c>
      <c r="D209" t="s">
        <v>1487</v>
      </c>
      <c r="E209" t="s">
        <v>1750</v>
      </c>
    </row>
    <row r="210" spans="1:5">
      <c r="A210" t="s">
        <v>13</v>
      </c>
      <c r="B210">
        <v>3</v>
      </c>
      <c r="C210" t="s">
        <v>1752</v>
      </c>
      <c r="D210" t="s">
        <v>1487</v>
      </c>
      <c r="E210" t="s">
        <v>1750</v>
      </c>
    </row>
    <row r="211" spans="1:5">
      <c r="A211" t="s">
        <v>13</v>
      </c>
      <c r="B211">
        <v>4</v>
      </c>
      <c r="C211" t="s">
        <v>1753</v>
      </c>
      <c r="D211" t="s">
        <v>1488</v>
      </c>
      <c r="E211" t="s">
        <v>1750</v>
      </c>
    </row>
    <row r="212" spans="1:5">
      <c r="A212" t="s">
        <v>13</v>
      </c>
      <c r="B212">
        <v>5</v>
      </c>
      <c r="C212" t="s">
        <v>1754</v>
      </c>
      <c r="D212" t="s">
        <v>1487</v>
      </c>
      <c r="E212" t="s">
        <v>1750</v>
      </c>
    </row>
    <row r="213" spans="1:5">
      <c r="A213" t="s">
        <v>1514</v>
      </c>
      <c r="B213">
        <v>1</v>
      </c>
      <c r="C213" t="s">
        <v>484</v>
      </c>
      <c r="D213" t="s">
        <v>1488</v>
      </c>
      <c r="E213" t="s">
        <v>1641</v>
      </c>
    </row>
    <row r="214" spans="1:5">
      <c r="A214" t="s">
        <v>1514</v>
      </c>
      <c r="B214">
        <v>2</v>
      </c>
      <c r="C214" t="s">
        <v>1755</v>
      </c>
      <c r="D214" t="s">
        <v>1488</v>
      </c>
      <c r="E214" t="s">
        <v>1641</v>
      </c>
    </row>
    <row r="215" spans="1:5">
      <c r="A215" t="s">
        <v>1514</v>
      </c>
      <c r="B215">
        <v>3</v>
      </c>
      <c r="C215" t="s">
        <v>1756</v>
      </c>
      <c r="D215" t="s">
        <v>1488</v>
      </c>
      <c r="E215" t="s">
        <v>1641</v>
      </c>
    </row>
    <row r="216" spans="1:5">
      <c r="A216" t="s">
        <v>1514</v>
      </c>
      <c r="B216">
        <v>4</v>
      </c>
      <c r="C216" t="s">
        <v>1757</v>
      </c>
      <c r="D216" t="s">
        <v>1487</v>
      </c>
      <c r="E216" t="s">
        <v>1641</v>
      </c>
    </row>
    <row r="217" spans="1:5">
      <c r="A217" t="s">
        <v>19</v>
      </c>
      <c r="B217">
        <v>1</v>
      </c>
      <c r="C217" t="s">
        <v>1758</v>
      </c>
      <c r="D217" t="s">
        <v>1488</v>
      </c>
      <c r="E217" t="s">
        <v>1759</v>
      </c>
    </row>
    <row r="218" spans="1:5">
      <c r="A218" t="s">
        <v>19</v>
      </c>
      <c r="B218">
        <v>2</v>
      </c>
      <c r="C218" t="s">
        <v>1760</v>
      </c>
      <c r="D218" t="s">
        <v>1487</v>
      </c>
      <c r="E218" t="s">
        <v>1761</v>
      </c>
    </row>
    <row r="219" spans="1:5">
      <c r="A219" t="s">
        <v>19</v>
      </c>
      <c r="B219">
        <v>3</v>
      </c>
      <c r="C219" t="s">
        <v>1762</v>
      </c>
      <c r="D219" t="s">
        <v>1488</v>
      </c>
      <c r="E219" t="s">
        <v>1763</v>
      </c>
    </row>
    <row r="220" spans="1:5">
      <c r="A220" t="s">
        <v>19</v>
      </c>
      <c r="B220">
        <v>4</v>
      </c>
      <c r="C220" t="s">
        <v>1764</v>
      </c>
      <c r="D220" t="s">
        <v>1488</v>
      </c>
      <c r="E220" t="s">
        <v>1763</v>
      </c>
    </row>
    <row r="221" spans="1:5">
      <c r="A221" t="s">
        <v>19</v>
      </c>
      <c r="B221">
        <v>5</v>
      </c>
      <c r="C221" t="s">
        <v>1765</v>
      </c>
      <c r="D221" t="s">
        <v>1487</v>
      </c>
      <c r="E221" t="s">
        <v>1763</v>
      </c>
    </row>
    <row r="222" spans="1:5">
      <c r="A222" t="s">
        <v>19</v>
      </c>
      <c r="B222">
        <v>6</v>
      </c>
      <c r="C222" t="s">
        <v>1766</v>
      </c>
      <c r="D222" t="s">
        <v>1488</v>
      </c>
      <c r="E222" t="s">
        <v>1763</v>
      </c>
    </row>
    <row r="223" spans="1:5">
      <c r="A223" t="s">
        <v>19</v>
      </c>
      <c r="B223">
        <v>7</v>
      </c>
      <c r="C223" t="s">
        <v>1767</v>
      </c>
      <c r="D223" t="s">
        <v>1488</v>
      </c>
      <c r="E223" t="s">
        <v>1763</v>
      </c>
    </row>
    <row r="224" spans="1:5">
      <c r="A224" t="s">
        <v>19</v>
      </c>
      <c r="B224">
        <v>8</v>
      </c>
      <c r="C224" t="s">
        <v>1768</v>
      </c>
      <c r="D224" t="s">
        <v>1488</v>
      </c>
      <c r="E224" t="s">
        <v>1763</v>
      </c>
    </row>
    <row r="225" spans="1:5">
      <c r="A225" t="s">
        <v>19</v>
      </c>
      <c r="B225">
        <v>9</v>
      </c>
      <c r="C225" t="s">
        <v>1769</v>
      </c>
      <c r="D225" t="s">
        <v>1488</v>
      </c>
      <c r="E225" t="s">
        <v>1770</v>
      </c>
    </row>
    <row r="226" spans="1:5">
      <c r="A226" t="s">
        <v>19</v>
      </c>
      <c r="B226">
        <v>10</v>
      </c>
      <c r="C226" t="s">
        <v>1771</v>
      </c>
      <c r="D226" t="s">
        <v>1488</v>
      </c>
      <c r="E226" t="s">
        <v>1763</v>
      </c>
    </row>
    <row r="227" spans="1:5">
      <c r="A227" t="s">
        <v>19</v>
      </c>
      <c r="B227">
        <v>11</v>
      </c>
      <c r="C227" t="s">
        <v>1772</v>
      </c>
      <c r="D227" t="s">
        <v>1488</v>
      </c>
    </row>
    <row r="228" spans="1:5">
      <c r="A228" t="s">
        <v>19</v>
      </c>
      <c r="B228">
        <v>12</v>
      </c>
      <c r="C228" t="s">
        <v>1773</v>
      </c>
      <c r="D228" t="s">
        <v>1488</v>
      </c>
    </row>
    <row r="229" spans="1:5">
      <c r="A229" t="s">
        <v>19</v>
      </c>
      <c r="B229">
        <v>13</v>
      </c>
      <c r="C229" t="s">
        <v>1774</v>
      </c>
      <c r="D229" t="s">
        <v>1487</v>
      </c>
    </row>
    <row r="230" spans="1:5">
      <c r="A230" t="s">
        <v>19</v>
      </c>
      <c r="B230">
        <v>14</v>
      </c>
      <c r="C230" t="s">
        <v>1775</v>
      </c>
      <c r="D230" t="s">
        <v>1488</v>
      </c>
    </row>
    <row r="231" spans="1:5">
      <c r="A231" t="s">
        <v>19</v>
      </c>
      <c r="B231">
        <v>15</v>
      </c>
      <c r="C231" t="s">
        <v>1776</v>
      </c>
      <c r="D231" t="s">
        <v>1488</v>
      </c>
    </row>
    <row r="232" spans="1:5">
      <c r="A232" t="s">
        <v>19</v>
      </c>
      <c r="B232">
        <v>16</v>
      </c>
      <c r="C232" t="s">
        <v>1777</v>
      </c>
      <c r="D232" t="s">
        <v>1488</v>
      </c>
    </row>
    <row r="233" spans="1:5">
      <c r="A233" t="s">
        <v>19</v>
      </c>
      <c r="B233">
        <v>17</v>
      </c>
      <c r="C233" t="s">
        <v>1778</v>
      </c>
      <c r="D233" t="s">
        <v>1488</v>
      </c>
    </row>
    <row r="234" spans="1:5">
      <c r="A234" t="s">
        <v>22</v>
      </c>
      <c r="B234">
        <v>1</v>
      </c>
      <c r="C234" t="s">
        <v>1779</v>
      </c>
      <c r="D234" t="s">
        <v>1488</v>
      </c>
      <c r="E234" t="s">
        <v>1780</v>
      </c>
    </row>
    <row r="235" spans="1:5">
      <c r="A235" t="s">
        <v>22</v>
      </c>
      <c r="B235">
        <v>2</v>
      </c>
      <c r="C235" t="s">
        <v>1781</v>
      </c>
      <c r="D235" t="s">
        <v>1488</v>
      </c>
      <c r="E235" t="s">
        <v>1782</v>
      </c>
    </row>
    <row r="236" spans="1:5">
      <c r="A236" t="s">
        <v>22</v>
      </c>
      <c r="B236">
        <v>3</v>
      </c>
      <c r="C236" t="s">
        <v>1783</v>
      </c>
      <c r="D236" t="s">
        <v>1487</v>
      </c>
      <c r="E236" t="s">
        <v>1784</v>
      </c>
    </row>
    <row r="237" spans="1:5">
      <c r="A237" t="s">
        <v>22</v>
      </c>
      <c r="B237">
        <v>4</v>
      </c>
      <c r="C237" t="s">
        <v>1785</v>
      </c>
      <c r="D237" t="s">
        <v>1488</v>
      </c>
      <c r="E237" t="s">
        <v>1786</v>
      </c>
    </row>
    <row r="238" spans="1:5">
      <c r="A238" t="s">
        <v>22</v>
      </c>
      <c r="B238">
        <v>5</v>
      </c>
      <c r="C238" t="s">
        <v>1787</v>
      </c>
      <c r="D238" t="s">
        <v>1487</v>
      </c>
      <c r="E238" t="s">
        <v>1788</v>
      </c>
    </row>
    <row r="239" spans="1:5">
      <c r="A239" t="s">
        <v>22</v>
      </c>
      <c r="B239">
        <v>6</v>
      </c>
      <c r="C239" t="s">
        <v>1789</v>
      </c>
      <c r="D239" t="s">
        <v>1487</v>
      </c>
      <c r="E239" t="s">
        <v>1790</v>
      </c>
    </row>
    <row r="240" spans="1:5">
      <c r="A240" t="s">
        <v>22</v>
      </c>
      <c r="B240">
        <v>7</v>
      </c>
      <c r="C240" t="s">
        <v>1791</v>
      </c>
      <c r="D240" t="s">
        <v>1488</v>
      </c>
      <c r="E240" t="s">
        <v>1792</v>
      </c>
    </row>
    <row r="241" spans="1:5">
      <c r="A241" t="s">
        <v>22</v>
      </c>
      <c r="B241">
        <v>8</v>
      </c>
      <c r="C241" t="s">
        <v>1793</v>
      </c>
      <c r="D241" t="s">
        <v>1488</v>
      </c>
      <c r="E241" t="s">
        <v>1794</v>
      </c>
    </row>
    <row r="242" spans="1:5">
      <c r="A242" t="s">
        <v>22</v>
      </c>
      <c r="B242">
        <v>9</v>
      </c>
      <c r="C242" t="s">
        <v>1795</v>
      </c>
      <c r="D242" t="s">
        <v>1488</v>
      </c>
      <c r="E242" t="s">
        <v>1796</v>
      </c>
    </row>
    <row r="243" spans="1:5">
      <c r="A243" t="s">
        <v>22</v>
      </c>
      <c r="B243">
        <v>10</v>
      </c>
      <c r="C243" t="s">
        <v>1797</v>
      </c>
      <c r="D243" t="s">
        <v>1488</v>
      </c>
      <c r="E243" t="s">
        <v>1798</v>
      </c>
    </row>
    <row r="244" spans="1:5">
      <c r="A244" t="s">
        <v>22</v>
      </c>
      <c r="B244">
        <v>11</v>
      </c>
      <c r="C244" t="s">
        <v>1799</v>
      </c>
      <c r="D244" t="s">
        <v>1487</v>
      </c>
      <c r="E244" t="s">
        <v>1800</v>
      </c>
    </row>
    <row r="245" spans="1:5">
      <c r="A245" t="s">
        <v>18</v>
      </c>
      <c r="B245">
        <v>1</v>
      </c>
      <c r="C245" t="s">
        <v>1801</v>
      </c>
      <c r="D245" t="s">
        <v>1488</v>
      </c>
      <c r="E245" t="s">
        <v>1802</v>
      </c>
    </row>
    <row r="246" spans="1:5">
      <c r="A246" t="s">
        <v>18</v>
      </c>
      <c r="B246">
        <v>2</v>
      </c>
      <c r="C246" t="s">
        <v>1803</v>
      </c>
      <c r="D246" t="s">
        <v>1488</v>
      </c>
      <c r="E246" t="s">
        <v>1804</v>
      </c>
    </row>
    <row r="247" spans="1:5">
      <c r="A247" t="s">
        <v>18</v>
      </c>
      <c r="B247">
        <v>3</v>
      </c>
      <c r="C247" t="s">
        <v>1805</v>
      </c>
      <c r="D247" t="s">
        <v>1488</v>
      </c>
      <c r="E247" t="s">
        <v>1802</v>
      </c>
    </row>
    <row r="248" spans="1:5">
      <c r="A248" t="s">
        <v>18</v>
      </c>
      <c r="B248">
        <v>4</v>
      </c>
      <c r="C248" t="s">
        <v>1806</v>
      </c>
      <c r="D248" t="s">
        <v>1488</v>
      </c>
      <c r="E248" t="s">
        <v>1802</v>
      </c>
    </row>
    <row r="249" spans="1:5">
      <c r="A249" t="s">
        <v>18</v>
      </c>
      <c r="B249">
        <v>5</v>
      </c>
      <c r="C249" t="s">
        <v>1807</v>
      </c>
      <c r="D249" t="s">
        <v>1487</v>
      </c>
      <c r="E249" t="s">
        <v>1802</v>
      </c>
    </row>
    <row r="250" spans="1:5">
      <c r="A250" t="s">
        <v>18</v>
      </c>
      <c r="B250">
        <v>6</v>
      </c>
      <c r="C250" t="s">
        <v>1808</v>
      </c>
      <c r="D250" t="s">
        <v>1488</v>
      </c>
      <c r="E250" t="s">
        <v>1809</v>
      </c>
    </row>
    <row r="251" spans="1:5">
      <c r="A251" t="s">
        <v>12</v>
      </c>
      <c r="B251">
        <v>1</v>
      </c>
      <c r="C251" t="s">
        <v>1810</v>
      </c>
      <c r="D251" t="s">
        <v>1488</v>
      </c>
      <c r="E251" t="s">
        <v>1811</v>
      </c>
    </row>
    <row r="252" spans="1:5">
      <c r="A252" t="s">
        <v>12</v>
      </c>
      <c r="B252">
        <v>2</v>
      </c>
      <c r="C252" t="s">
        <v>1812</v>
      </c>
      <c r="D252" t="s">
        <v>1488</v>
      </c>
      <c r="E252" t="s">
        <v>1811</v>
      </c>
    </row>
    <row r="253" spans="1:5">
      <c r="A253" t="s">
        <v>12</v>
      </c>
      <c r="B253">
        <v>3</v>
      </c>
      <c r="C253" t="s">
        <v>1813</v>
      </c>
      <c r="D253" t="s">
        <v>1488</v>
      </c>
      <c r="E253" t="s">
        <v>1811</v>
      </c>
    </row>
    <row r="254" spans="1:5">
      <c r="A254" t="s">
        <v>12</v>
      </c>
      <c r="B254">
        <v>4</v>
      </c>
      <c r="C254" t="s">
        <v>1814</v>
      </c>
      <c r="D254" t="s">
        <v>1488</v>
      </c>
      <c r="E254" t="s">
        <v>1811</v>
      </c>
    </row>
    <row r="255" spans="1:5">
      <c r="A255" t="s">
        <v>12</v>
      </c>
      <c r="B255">
        <v>5</v>
      </c>
      <c r="C255" t="s">
        <v>1815</v>
      </c>
      <c r="D255" t="s">
        <v>1488</v>
      </c>
      <c r="E255" t="s">
        <v>1811</v>
      </c>
    </row>
    <row r="256" spans="1:5">
      <c r="A256" t="s">
        <v>12</v>
      </c>
      <c r="B256">
        <v>6</v>
      </c>
      <c r="C256" t="s">
        <v>1816</v>
      </c>
      <c r="D256" t="s">
        <v>1488</v>
      </c>
      <c r="E256" t="s">
        <v>1811</v>
      </c>
    </row>
    <row r="257" spans="1:5">
      <c r="A257" t="s">
        <v>12</v>
      </c>
      <c r="B257">
        <v>7</v>
      </c>
      <c r="C257" t="s">
        <v>1817</v>
      </c>
      <c r="D257" t="s">
        <v>1488</v>
      </c>
      <c r="E257" t="s">
        <v>1811</v>
      </c>
    </row>
    <row r="258" spans="1:5">
      <c r="A258" t="s">
        <v>12</v>
      </c>
      <c r="B258">
        <v>8</v>
      </c>
      <c r="C258" t="s">
        <v>1818</v>
      </c>
      <c r="D258" t="s">
        <v>1488</v>
      </c>
      <c r="E258" t="s">
        <v>1811</v>
      </c>
    </row>
    <row r="259" spans="1:5">
      <c r="A259" t="s">
        <v>12</v>
      </c>
      <c r="B259">
        <v>9</v>
      </c>
      <c r="C259" t="s">
        <v>1819</v>
      </c>
      <c r="D259" t="s">
        <v>1488</v>
      </c>
    </row>
    <row r="260" spans="1:5">
      <c r="A260" t="s">
        <v>12</v>
      </c>
      <c r="B260">
        <v>10</v>
      </c>
      <c r="C260" t="s">
        <v>1820</v>
      </c>
      <c r="D260" t="s">
        <v>1488</v>
      </c>
    </row>
    <row r="261" spans="1:5">
      <c r="A261" t="s">
        <v>12</v>
      </c>
      <c r="B261">
        <v>11</v>
      </c>
      <c r="C261" t="s">
        <v>1821</v>
      </c>
      <c r="D261" t="s">
        <v>1488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tabSelected="1" zoomScaleNormal="100" workbookViewId="0">
      <selection activeCell="B9" sqref="B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1822</v>
      </c>
      <c r="C1" s="10" t="s">
        <v>4</v>
      </c>
      <c r="D1" s="10" t="s">
        <v>5</v>
      </c>
      <c r="E1" s="10" t="s">
        <v>6</v>
      </c>
      <c r="F1" s="10" t="s">
        <v>1823</v>
      </c>
      <c r="G1" t="s">
        <v>1824</v>
      </c>
      <c r="H1" t="s">
        <v>1825</v>
      </c>
      <c r="I1" t="s">
        <v>1826</v>
      </c>
    </row>
    <row r="2" spans="1:9" ht="15" customHeight="1">
      <c r="A2" t="s">
        <v>10</v>
      </c>
      <c r="B2">
        <f>INDEX('סקר 2026'!$D:$D,MATCH(A2,'סקר 2026'!$A:$A,0))</f>
        <v>21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18</v>
      </c>
      <c r="E2">
        <f t="shared" ref="E2:E16" si="0">IF(B2=0,0,C2/B2)</f>
        <v>0.14285714285714285</v>
      </c>
      <c r="F2" t="s">
        <v>1827</v>
      </c>
      <c r="G2">
        <v>32</v>
      </c>
      <c r="H2">
        <v>7</v>
      </c>
      <c r="I2">
        <f t="shared" ref="I2:I16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1828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1829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1830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1831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1832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1833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1834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1835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1836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1837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22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1838</v>
      </c>
      <c r="G13">
        <v>0</v>
      </c>
      <c r="H13">
        <v>0</v>
      </c>
      <c r="I13">
        <f t="shared" si="1"/>
        <v>0</v>
      </c>
    </row>
    <row r="14" spans="1:9" ht="15" customHeight="1">
      <c r="A14" t="s">
        <v>23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1839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1513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1840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1841</v>
      </c>
      <c r="B16">
        <f>SUM(B2:B14)</f>
        <v>119</v>
      </c>
      <c r="C16">
        <f>SUM(C2:C14)</f>
        <v>32</v>
      </c>
      <c r="D16">
        <f>SUM(D2:D14)</f>
        <v>87</v>
      </c>
      <c r="E16">
        <f t="shared" si="0"/>
        <v>0.26890756302521007</v>
      </c>
      <c r="G16">
        <f>SUM(G2:G14)</f>
        <v>107</v>
      </c>
      <c r="H16">
        <f>SUM(H2:H14)</f>
        <v>26</v>
      </c>
      <c r="I16">
        <f t="shared" si="1"/>
        <v>0.24299065420560748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"/>
  <sheetViews>
    <sheetView workbookViewId="0">
      <selection activeCell="H1" sqref="H1:H1048576"/>
    </sheetView>
  </sheetViews>
  <sheetFormatPr defaultRowHeight="15"/>
  <sheetData>
    <row r="1" spans="1:18">
      <c r="A1" t="s">
        <v>0</v>
      </c>
      <c r="B1" t="s">
        <v>1</v>
      </c>
      <c r="C1" t="s">
        <v>1842</v>
      </c>
      <c r="D1" t="s">
        <v>1843</v>
      </c>
      <c r="E1" t="s">
        <v>10</v>
      </c>
      <c r="F1" t="s">
        <v>11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1513</v>
      </c>
    </row>
    <row r="2" spans="1:18">
      <c r="A2" t="s">
        <v>9</v>
      </c>
      <c r="B2" t="s">
        <v>1844</v>
      </c>
      <c r="C2" t="s">
        <v>1845</v>
      </c>
      <c r="D2" t="s">
        <v>1846</v>
      </c>
      <c r="E2">
        <v>29</v>
      </c>
      <c r="F2">
        <v>8</v>
      </c>
      <c r="G2">
        <v>10</v>
      </c>
      <c r="H2">
        <v>7</v>
      </c>
      <c r="I2">
        <v>6</v>
      </c>
      <c r="J2">
        <v>8</v>
      </c>
      <c r="K2">
        <v>7</v>
      </c>
      <c r="L2">
        <v>6</v>
      </c>
      <c r="M2">
        <v>7</v>
      </c>
      <c r="N2">
        <v>10</v>
      </c>
      <c r="O2">
        <v>22</v>
      </c>
      <c r="P2">
        <v>0</v>
      </c>
      <c r="Q2">
        <v>0</v>
      </c>
      <c r="R2">
        <v>0</v>
      </c>
    </row>
    <row r="3" spans="1:18">
      <c r="A3" t="s">
        <v>24</v>
      </c>
      <c r="B3" t="s">
        <v>1844</v>
      </c>
      <c r="C3" t="s">
        <v>1847</v>
      </c>
      <c r="D3" t="s">
        <v>1848</v>
      </c>
      <c r="E3">
        <v>21</v>
      </c>
      <c r="F3">
        <v>7</v>
      </c>
      <c r="G3">
        <v>8</v>
      </c>
      <c r="H3">
        <v>8</v>
      </c>
      <c r="I3">
        <v>8</v>
      </c>
      <c r="J3">
        <v>9</v>
      </c>
      <c r="K3">
        <v>7</v>
      </c>
      <c r="L3">
        <v>5</v>
      </c>
      <c r="M3">
        <v>8</v>
      </c>
      <c r="N3">
        <v>12</v>
      </c>
      <c r="O3">
        <v>23</v>
      </c>
      <c r="P3">
        <v>0</v>
      </c>
      <c r="Q3">
        <v>4</v>
      </c>
      <c r="R3">
        <v>0</v>
      </c>
    </row>
    <row r="4" spans="1:18">
      <c r="A4" t="s">
        <v>25</v>
      </c>
      <c r="B4" t="s">
        <v>1849</v>
      </c>
      <c r="C4" t="s">
        <v>1850</v>
      </c>
      <c r="D4" t="s">
        <v>1851</v>
      </c>
      <c r="E4">
        <v>18</v>
      </c>
      <c r="F4">
        <v>8</v>
      </c>
      <c r="G4">
        <v>7</v>
      </c>
      <c r="H4">
        <v>8</v>
      </c>
      <c r="I4">
        <v>8</v>
      </c>
      <c r="J4">
        <v>9</v>
      </c>
      <c r="K4">
        <v>6</v>
      </c>
      <c r="L4">
        <v>6</v>
      </c>
      <c r="M4">
        <v>8</v>
      </c>
      <c r="N4">
        <v>13</v>
      </c>
      <c r="O4">
        <v>21</v>
      </c>
      <c r="P4">
        <v>4</v>
      </c>
      <c r="Q4">
        <v>4</v>
      </c>
      <c r="R4">
        <v>0</v>
      </c>
    </row>
    <row r="5" spans="1:18">
      <c r="A5" t="s">
        <v>26</v>
      </c>
      <c r="B5" t="s">
        <v>1852</v>
      </c>
      <c r="C5" t="s">
        <v>1847</v>
      </c>
      <c r="D5" t="s">
        <v>1853</v>
      </c>
      <c r="E5">
        <v>21</v>
      </c>
      <c r="F5">
        <v>7</v>
      </c>
      <c r="G5">
        <v>7</v>
      </c>
      <c r="H5">
        <v>9</v>
      </c>
      <c r="I5">
        <v>8</v>
      </c>
      <c r="J5">
        <v>8</v>
      </c>
      <c r="K5">
        <v>6</v>
      </c>
      <c r="L5">
        <v>5</v>
      </c>
      <c r="M5">
        <v>9</v>
      </c>
      <c r="N5">
        <v>12</v>
      </c>
      <c r="O5">
        <v>24</v>
      </c>
      <c r="P5">
        <v>0</v>
      </c>
      <c r="Q5">
        <v>4</v>
      </c>
      <c r="R5">
        <v>0</v>
      </c>
    </row>
    <row r="6" spans="1:18">
      <c r="A6" t="s">
        <v>27</v>
      </c>
      <c r="B6" t="s">
        <v>1852</v>
      </c>
      <c r="C6" t="s">
        <v>1854</v>
      </c>
      <c r="D6" t="s">
        <v>1855</v>
      </c>
      <c r="E6">
        <v>20</v>
      </c>
      <c r="F6">
        <v>8</v>
      </c>
      <c r="G6">
        <v>8</v>
      </c>
      <c r="H6">
        <v>8</v>
      </c>
      <c r="I6">
        <v>9</v>
      </c>
      <c r="J6">
        <v>8</v>
      </c>
      <c r="K6">
        <v>6</v>
      </c>
      <c r="L6">
        <v>5</v>
      </c>
      <c r="M6">
        <v>7</v>
      </c>
      <c r="N6">
        <v>11</v>
      </c>
      <c r="O6">
        <v>26</v>
      </c>
      <c r="P6">
        <v>0</v>
      </c>
      <c r="Q6">
        <v>4</v>
      </c>
      <c r="R6">
        <v>0</v>
      </c>
    </row>
    <row r="7" spans="1:18">
      <c r="A7" t="s">
        <v>28</v>
      </c>
      <c r="B7" t="s">
        <v>1856</v>
      </c>
      <c r="C7" t="s">
        <v>1857</v>
      </c>
      <c r="D7" t="s">
        <v>1858</v>
      </c>
      <c r="E7">
        <v>18</v>
      </c>
      <c r="F7">
        <v>8</v>
      </c>
      <c r="G7">
        <v>7</v>
      </c>
      <c r="H7">
        <v>9</v>
      </c>
      <c r="I7">
        <v>9</v>
      </c>
      <c r="J7">
        <v>9</v>
      </c>
      <c r="K7">
        <v>6</v>
      </c>
      <c r="L7">
        <v>6</v>
      </c>
      <c r="M7">
        <v>8</v>
      </c>
      <c r="N7">
        <v>12</v>
      </c>
      <c r="O7">
        <v>20</v>
      </c>
      <c r="P7">
        <v>4</v>
      </c>
      <c r="Q7">
        <v>4</v>
      </c>
      <c r="R7">
        <v>0</v>
      </c>
    </row>
    <row r="8" spans="1:18">
      <c r="A8" t="s">
        <v>29</v>
      </c>
      <c r="B8" t="s">
        <v>1859</v>
      </c>
      <c r="C8" t="s">
        <v>1860</v>
      </c>
      <c r="D8" t="s">
        <v>1855</v>
      </c>
      <c r="E8">
        <v>18</v>
      </c>
      <c r="F8">
        <v>8</v>
      </c>
      <c r="G8">
        <v>7</v>
      </c>
      <c r="H8">
        <v>8</v>
      </c>
      <c r="I8">
        <v>7</v>
      </c>
      <c r="J8">
        <v>9</v>
      </c>
      <c r="K8">
        <v>6</v>
      </c>
      <c r="L8">
        <v>5</v>
      </c>
      <c r="M8">
        <v>9</v>
      </c>
      <c r="N8">
        <v>13</v>
      </c>
      <c r="O8">
        <v>21</v>
      </c>
      <c r="P8">
        <v>4</v>
      </c>
      <c r="Q8">
        <v>5</v>
      </c>
      <c r="R8">
        <v>0</v>
      </c>
    </row>
    <row r="9" spans="1:18">
      <c r="A9" t="s">
        <v>30</v>
      </c>
      <c r="B9" t="s">
        <v>1861</v>
      </c>
      <c r="C9" t="s">
        <v>1862</v>
      </c>
      <c r="D9" t="s">
        <v>1863</v>
      </c>
      <c r="E9">
        <v>20</v>
      </c>
      <c r="F9">
        <v>7</v>
      </c>
      <c r="G9">
        <v>8</v>
      </c>
      <c r="H9">
        <v>8</v>
      </c>
      <c r="I9">
        <v>9</v>
      </c>
      <c r="J9">
        <v>9</v>
      </c>
      <c r="K9">
        <v>6</v>
      </c>
      <c r="L9">
        <v>5</v>
      </c>
      <c r="M9">
        <v>8</v>
      </c>
      <c r="N9">
        <v>13</v>
      </c>
      <c r="O9">
        <v>23</v>
      </c>
      <c r="P9">
        <v>0</v>
      </c>
      <c r="Q9">
        <v>4</v>
      </c>
      <c r="R9">
        <v>0</v>
      </c>
    </row>
    <row r="10" spans="1:18">
      <c r="A10" t="s">
        <v>31</v>
      </c>
      <c r="B10" t="s">
        <v>1861</v>
      </c>
      <c r="C10" t="s">
        <v>1850</v>
      </c>
      <c r="D10" t="s">
        <v>1855</v>
      </c>
      <c r="E10">
        <v>20</v>
      </c>
      <c r="F10">
        <v>8</v>
      </c>
      <c r="G10">
        <v>7</v>
      </c>
      <c r="H10">
        <v>8</v>
      </c>
      <c r="I10">
        <v>9</v>
      </c>
      <c r="J10">
        <v>10</v>
      </c>
      <c r="K10">
        <v>6</v>
      </c>
      <c r="L10">
        <v>5</v>
      </c>
      <c r="M10">
        <v>8</v>
      </c>
      <c r="N10">
        <v>13</v>
      </c>
      <c r="O10">
        <v>22</v>
      </c>
      <c r="P10">
        <v>0</v>
      </c>
      <c r="Q10">
        <v>4</v>
      </c>
      <c r="R10">
        <v>0</v>
      </c>
    </row>
    <row r="11" spans="1:18">
      <c r="A11" t="s">
        <v>32</v>
      </c>
      <c r="B11" t="s">
        <v>1864</v>
      </c>
      <c r="C11" t="s">
        <v>1865</v>
      </c>
      <c r="D11" t="s">
        <v>1866</v>
      </c>
      <c r="E11">
        <v>26</v>
      </c>
      <c r="F11">
        <v>8</v>
      </c>
      <c r="G11">
        <v>7</v>
      </c>
      <c r="H11">
        <v>7</v>
      </c>
      <c r="I11">
        <v>7</v>
      </c>
      <c r="J11">
        <v>10</v>
      </c>
      <c r="K11">
        <v>6</v>
      </c>
      <c r="L11">
        <v>5</v>
      </c>
      <c r="M11">
        <v>9</v>
      </c>
      <c r="N11">
        <v>11</v>
      </c>
      <c r="O11">
        <v>20</v>
      </c>
      <c r="P11">
        <v>4</v>
      </c>
      <c r="Q11">
        <v>0</v>
      </c>
      <c r="R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opLeftCell="A112" workbookViewId="0">
      <selection activeCell="I2" sqref="I2:I141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2026-10-18</v>
      </c>
      <c r="C2" t="s">
        <v>10</v>
      </c>
      <c r="D2">
        <f>INDEX('סקרים לפי ערוץ'!E:E,MATCH($A2,'סקרים לפי ערוץ'!$A:$A,0))</f>
        <v>29</v>
      </c>
      <c r="E2">
        <f>COUNTIFS('מועמדים 2026'!$A:$A,$C2,'מועמדים 2026'!$D:$D,"נ",'מועמדים 2026'!$B:$B,"&lt;="&amp;$D2)</f>
        <v>4</v>
      </c>
      <c r="F2">
        <f>COUNTIFS('מועמדים 2026'!$A:$A,$C2,'מועמדים 2026'!$D:$D,"ז",'מועמדים 2026'!$B:$B,"&lt;="&amp;$D2)</f>
        <v>25</v>
      </c>
      <c r="G2">
        <f t="shared" ref="G2:G33" si="0">IF($D2=0,0,$E2/$D2)</f>
        <v>0.13793103448275862</v>
      </c>
      <c r="H2">
        <f>COUNTIFS('מועמדים 2026'!$A:$A,$C2)</f>
        <v>36</v>
      </c>
      <c r="I2" t="str">
        <f>IF(AND($D2&gt;0,$H2=0),"אין נתוני מועמדים לחישוב",IF(D2&gt;H2,"חסרים מועמדים ברשימה",""))</f>
        <v/>
      </c>
    </row>
    <row r="3" spans="1:9">
      <c r="A3" t="s">
        <v>9</v>
      </c>
      <c r="B3" t="str">
        <f>INDEX('סקרים לפי ערוץ'!$B:$B,MATCH($A3,'סקרים לפי ערוץ'!$A:$A,0))</f>
        <v>2026-10-18</v>
      </c>
      <c r="C3" t="s">
        <v>11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ref="I3:I66" si="1">IF(AND($D3&gt;0,$H3=0),"אין נתוני מועמדים לחישוב",IF(D3&gt;H3,"חסרים מועמדים ברשימה",""))</f>
        <v/>
      </c>
    </row>
    <row r="4" spans="1:9">
      <c r="A4" t="s">
        <v>9</v>
      </c>
      <c r="B4" t="str">
        <f>INDEX('סקרים לפי ערוץ'!$B:$B,MATCH($A4,'סקרים לפי ערוץ'!$A:$A,0))</f>
        <v>2026-10-18</v>
      </c>
      <c r="C4" t="s">
        <v>12</v>
      </c>
      <c r="D4">
        <f>INDEX('סקרים לפי ערוץ'!G:G,MATCH($A4,'סקרים לפי ערוץ'!$A:$A,0))</f>
        <v>10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10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2026-10-18</v>
      </c>
      <c r="C5" t="s">
        <v>13</v>
      </c>
      <c r="D5" t="e">
        <f>INDEX('סקרים לפי ערוץ'!#REF!,MATCH($A5,'סקרים לפי ערוץ'!$A:$A,0))</f>
        <v>#REF!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 t="e">
        <f t="shared" si="0"/>
        <v>#REF!</v>
      </c>
      <c r="H5">
        <f>COUNTIFS('מועמדים 2026'!$A:$A,$C5)</f>
        <v>5</v>
      </c>
      <c r="I5" t="e">
        <f t="shared" si="1"/>
        <v>#REF!</v>
      </c>
    </row>
    <row r="6" spans="1:9">
      <c r="A6" t="s">
        <v>9</v>
      </c>
      <c r="B6" t="str">
        <f>INDEX('סקרים לפי ערוץ'!$B:$B,MATCH($A6,'סקרים לפי ערוץ'!$A:$A,0))</f>
        <v>2026-10-18</v>
      </c>
      <c r="C6" t="s">
        <v>14</v>
      </c>
      <c r="D6">
        <f>INDEX('סקרים לפי ערוץ'!H:H,MATCH($A6,'סקרים לפי ערוץ'!$A:$A,0))</f>
        <v>7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6</v>
      </c>
      <c r="G6">
        <f t="shared" si="0"/>
        <v>0.14285714285714285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2026-10-18</v>
      </c>
      <c r="C7" t="s">
        <v>15</v>
      </c>
      <c r="D7">
        <f>INDEX('סקרים לפי ערוץ'!I:I,MATCH($A7,'סקרים לפי ערוץ'!$A:$A,0))</f>
        <v>6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4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2026-10-18</v>
      </c>
      <c r="C8" t="s">
        <v>16</v>
      </c>
      <c r="D8">
        <f>INDEX('סקרים לפי ערוץ'!J:J,MATCH($A8,'סקרים לפי ערוץ'!$A:$A,0))</f>
        <v>8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4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2026-10-18</v>
      </c>
      <c r="C9" t="s">
        <v>17</v>
      </c>
      <c r="D9">
        <f>INDEX('סקרים לפי ערוץ'!K:K,MATCH($A9,'סקרים לפי ערוץ'!$A:$A,0))</f>
        <v>7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6</v>
      </c>
      <c r="G9">
        <f t="shared" si="0"/>
        <v>0.14285714285714285</v>
      </c>
      <c r="H9">
        <f>COUNTIFS('מועמדים 2026'!$A:$A,$C9)</f>
        <v>18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2026-10-18</v>
      </c>
      <c r="C10" t="s">
        <v>18</v>
      </c>
      <c r="D10">
        <f>INDEX('סקרים לפי ערוץ'!L:L,MATCH($A10,'סקרים לפי ערוץ'!$A:$A,0))</f>
        <v>6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5</v>
      </c>
      <c r="G10">
        <f t="shared" si="0"/>
        <v>0.16666666666666666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2026-10-18</v>
      </c>
      <c r="C11" t="s">
        <v>19</v>
      </c>
      <c r="D11">
        <f>INDEX('סקרים לפי ערוץ'!M:M,MATCH($A11,'סקרים לפי ערוץ'!$A:$A,0))</f>
        <v>7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5</v>
      </c>
      <c r="G11">
        <f t="shared" si="0"/>
        <v>0.2857142857142857</v>
      </c>
      <c r="H11">
        <f>COUNTIFS('מועמדים 2026'!$A:$A,$C11)</f>
        <v>17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2026-10-18</v>
      </c>
      <c r="C12" t="s">
        <v>20</v>
      </c>
      <c r="D12">
        <f>INDEX('סקרים לפי ערוץ'!N:N,MATCH($A12,'סקרים לפי ערוץ'!$A:$A,0))</f>
        <v>10</v>
      </c>
      <c r="E12">
        <f>COUNTIFS('מועמדים 2026'!$A:$A,$C12,'מועמדים 2026'!$D:$D,"נ",'מועמדים 2026'!$B:$B,"&lt;="&amp;$D12)</f>
        <v>5</v>
      </c>
      <c r="F12">
        <f>COUNTIFS('מועמדים 2026'!$A:$A,$C12,'מועמדים 2026'!$D:$D,"ז",'מועמדים 2026'!$B:$B,"&lt;="&amp;$D12)</f>
        <v>5</v>
      </c>
      <c r="G12">
        <f t="shared" si="0"/>
        <v>0.5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2026-10-18</v>
      </c>
      <c r="C13" t="s">
        <v>21</v>
      </c>
      <c r="D13">
        <f>INDEX('סקרים לפי ערוץ'!O:O,MATCH($A13,'סקרים לפי ערוץ'!$A:$A,0))</f>
        <v>22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11</v>
      </c>
      <c r="G13">
        <f t="shared" si="0"/>
        <v>0.5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2026-10-18</v>
      </c>
      <c r="C14" t="s">
        <v>22</v>
      </c>
      <c r="D14">
        <f>INDEX('סקרים לפי ערוץ'!P:P,MATCH($A14,'סקרים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2026-10-18</v>
      </c>
      <c r="C15" t="s">
        <v>23</v>
      </c>
      <c r="D15">
        <f>INDEX('סקרים לפי ערוץ'!Q:Q,MATCH($A15,'סקרים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2026-10-18</v>
      </c>
      <c r="C16" t="s">
        <v>10</v>
      </c>
      <c r="D16">
        <f>INDEX('סקרים לפי ערוץ'!E:E,MATCH($A16,'סקרים לפי ערוץ'!$A:$A,0))</f>
        <v>21</v>
      </c>
      <c r="E16">
        <f>COUNTIFS('מועמדים 2026'!$A:$A,$C16,'מועמדים 2026'!$D:$D,"נ",'מועמדים 2026'!$B:$B,"&lt;="&amp;$D16)</f>
        <v>3</v>
      </c>
      <c r="F16">
        <f>COUNTIFS('מועמדים 2026'!$A:$A,$C16,'מועמדים 2026'!$D:$D,"ז",'מועמדים 2026'!$B:$B,"&lt;="&amp;$D16)</f>
        <v>18</v>
      </c>
      <c r="G16">
        <f t="shared" si="0"/>
        <v>0.14285714285714285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2026-10-18</v>
      </c>
      <c r="C17" t="s">
        <v>11</v>
      </c>
      <c r="D17">
        <f>INDEX('סקרים לפי ערוץ'!F:F,MATCH($A17,'סקרים לפי ערוץ'!$A:$A,0))</f>
        <v>7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7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2026-10-18</v>
      </c>
      <c r="C18" t="s">
        <v>12</v>
      </c>
      <c r="D18">
        <f>INDEX('סקרים לפי ערוץ'!G:G,MATCH($A18,'סקרים לפי ערוץ'!$A:$A,0))</f>
        <v>8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11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2026-10-18</v>
      </c>
      <c r="C19" t="s">
        <v>13</v>
      </c>
      <c r="D19" t="e">
        <f>INDEX('סקרים לפי ערוץ'!#REF!,MATCH($A19,'סקרים לפי ערוץ'!$A:$A,0))</f>
        <v>#REF!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 t="e">
        <f t="shared" si="0"/>
        <v>#REF!</v>
      </c>
      <c r="H19">
        <f>COUNTIFS('מועמדים 2026'!$A:$A,$C19)</f>
        <v>5</v>
      </c>
      <c r="I19" t="e">
        <f t="shared" si="1"/>
        <v>#REF!</v>
      </c>
    </row>
    <row r="20" spans="1:9">
      <c r="A20" t="s">
        <v>24</v>
      </c>
      <c r="B20" t="str">
        <f>INDEX('סקרים לפי ערוץ'!$B:$B,MATCH($A20,'סקרים לפי ערוץ'!$A:$A,0))</f>
        <v>2026-10-18</v>
      </c>
      <c r="C20" t="s">
        <v>14</v>
      </c>
      <c r="D20">
        <f>INDEX('סקרים לפי ערוץ'!H:H,MATCH($A20,'סקרים לפי ערוץ'!$A:$A,0))</f>
        <v>8</v>
      </c>
      <c r="E20">
        <f>COUNTIFS('מועמדים 2026'!$A:$A,$C20,'מועמדים 2026'!$D:$D,"נ",'מועמדים 2026'!$B:$B,"&lt;="&amp;$D20)</f>
        <v>1</v>
      </c>
      <c r="F20">
        <f>COUNTIFS('מועמדים 2026'!$A:$A,$C20,'מועמדים 2026'!$D:$D,"ז",'מועמדים 2026'!$B:$B,"&lt;="&amp;$D20)</f>
        <v>7</v>
      </c>
      <c r="G20">
        <f t="shared" si="0"/>
        <v>0.125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2026-10-18</v>
      </c>
      <c r="C21" t="s">
        <v>15</v>
      </c>
      <c r="D21">
        <f>INDEX('סקרים לפי ערוץ'!I:I,MATCH($A21,'סקרים לפי ערוץ'!$A:$A,0))</f>
        <v>8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6</v>
      </c>
      <c r="G21">
        <f t="shared" si="0"/>
        <v>0.25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2026-10-18</v>
      </c>
      <c r="C22" t="s">
        <v>16</v>
      </c>
      <c r="D22">
        <f>INDEX('סקרים לפי ערוץ'!J:J,MATCH($A22,'סקרים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2026-10-18</v>
      </c>
      <c r="C23" t="s">
        <v>17</v>
      </c>
      <c r="D23">
        <f>INDEX('סקרים לפי ערוץ'!K:K,MATCH($A23,'סקרים לפי ערוץ'!$A:$A,0))</f>
        <v>7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6</v>
      </c>
      <c r="G23">
        <f t="shared" si="0"/>
        <v>0.14285714285714285</v>
      </c>
      <c r="H23">
        <f>COUNTIFS('מועמדים 2026'!$A:$A,$C23)</f>
        <v>18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2026-10-18</v>
      </c>
      <c r="C24" t="s">
        <v>18</v>
      </c>
      <c r="D24">
        <f>INDEX('סקרים לפי ערוץ'!L:L,MATCH($A24,'סקרים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2026-10-18</v>
      </c>
      <c r="C25" t="s">
        <v>19</v>
      </c>
      <c r="D25">
        <f>INDEX('סקרים לפי ערוץ'!M:M,MATCH($A25,'סקרים לפי ערוץ'!$A:$A,0))</f>
        <v>8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6</v>
      </c>
      <c r="G25">
        <f t="shared" si="0"/>
        <v>0.25</v>
      </c>
      <c r="H25">
        <f>COUNTIFS('מועמדים 2026'!$A:$A,$C25)</f>
        <v>17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2026-10-18</v>
      </c>
      <c r="C26" t="s">
        <v>20</v>
      </c>
      <c r="D26">
        <f>INDEX('סקרים לפי ערוץ'!N:N,MATCH($A26,'סקרים לפי ערוץ'!$A:$A,0))</f>
        <v>12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6</v>
      </c>
      <c r="G26">
        <f t="shared" si="0"/>
        <v>0.5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2026-10-18</v>
      </c>
      <c r="C27" t="s">
        <v>21</v>
      </c>
      <c r="D27">
        <f>INDEX('סקרים לפי ערוץ'!O:O,MATCH($A27,'סקרים לפי ערוץ'!$A:$A,0))</f>
        <v>23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12</v>
      </c>
      <c r="G27">
        <f t="shared" si="0"/>
        <v>0.47826086956521741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2026-10-18</v>
      </c>
      <c r="C28" t="s">
        <v>22</v>
      </c>
      <c r="D28">
        <f>INDEX('סקרים לפי ערוץ'!P:P,MATCH($A28,'סקרים לפי ערוץ'!$A:$A,0))</f>
        <v>0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0</v>
      </c>
      <c r="G28">
        <f t="shared" si="0"/>
        <v>0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2026-10-18</v>
      </c>
      <c r="C29" t="s">
        <v>23</v>
      </c>
      <c r="D29">
        <f>INDEX('סקרים לפי ערוץ'!Q:Q,MATCH($A29,'סקרים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2026-10-16</v>
      </c>
      <c r="C30" t="s">
        <v>10</v>
      </c>
      <c r="D30">
        <f>INDEX('סקרים לפי ערוץ'!E:E,MATCH($A30,'סקרים לפי ערוץ'!$A:$A,0))</f>
        <v>18</v>
      </c>
      <c r="E30">
        <f>COUNTIFS('מועמדים 2026'!$A:$A,$C30,'מועמדים 2026'!$D:$D,"נ",'מועמדים 2026'!$B:$B,"&lt;="&amp;$D30)</f>
        <v>2</v>
      </c>
      <c r="F30">
        <f>COUNTIFS('מועמדים 2026'!$A:$A,$C30,'מועמדים 2026'!$D:$D,"ז",'מועמדים 2026'!$B:$B,"&lt;="&amp;$D30)</f>
        <v>16</v>
      </c>
      <c r="G30">
        <f t="shared" si="0"/>
        <v>0.1111111111111111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2026-10-16</v>
      </c>
      <c r="C31" t="s">
        <v>11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2026-10-16</v>
      </c>
      <c r="C32" t="s">
        <v>12</v>
      </c>
      <c r="D32">
        <f>INDEX('סקרים לפי ערוץ'!G:G,MATCH($A32,'סקרים לפי ערוץ'!$A:$A,0))</f>
        <v>7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7</v>
      </c>
      <c r="G32">
        <f t="shared" si="0"/>
        <v>0</v>
      </c>
      <c r="H32">
        <f>COUNTIFS('מועמדים 2026'!$A:$A,$C32)</f>
        <v>11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2026-10-16</v>
      </c>
      <c r="C33" t="s">
        <v>13</v>
      </c>
      <c r="D33" t="e">
        <f>INDEX('סקרים לפי ערוץ'!#REF!,MATCH($A33,'סקרים לפי ערוץ'!$A:$A,0))</f>
        <v>#REF!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 t="e">
        <f t="shared" si="0"/>
        <v>#REF!</v>
      </c>
      <c r="H33">
        <f>COUNTIFS('מועמדים 2026'!$A:$A,$C33)</f>
        <v>5</v>
      </c>
      <c r="I33" t="e">
        <f t="shared" si="1"/>
        <v>#REF!</v>
      </c>
    </row>
    <row r="34" spans="1:9">
      <c r="A34" t="s">
        <v>25</v>
      </c>
      <c r="B34" t="str">
        <f>INDEX('סקרים לפי ערוץ'!$B:$B,MATCH($A34,'סקרים לפי ערוץ'!$A:$A,0))</f>
        <v>2026-10-16</v>
      </c>
      <c r="C34" t="s">
        <v>14</v>
      </c>
      <c r="D34">
        <f>INDEX('סקרים לפי ערוץ'!H:H,MATCH($A34,'סקרים לפי ערוץ'!$A:$A,0))</f>
        <v>8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0.125</v>
      </c>
      <c r="H34">
        <f>COUNTIFS('מועמדים 2026'!$A:$A,$C34)</f>
        <v>10</v>
      </c>
      <c r="I34" t="str">
        <f t="shared" si="1"/>
        <v/>
      </c>
    </row>
    <row r="35" spans="1:9">
      <c r="A35" t="s">
        <v>25</v>
      </c>
      <c r="B35" t="str">
        <f>INDEX('סקרים לפי ערוץ'!$B:$B,MATCH($A35,'סקרים לפי ערוץ'!$A:$A,0))</f>
        <v>2026-10-16</v>
      </c>
      <c r="C35" t="s">
        <v>15</v>
      </c>
      <c r="D35">
        <f>INDEX('סקרים לפי ערוץ'!I:I,MATCH($A35,'סקרים לפי ערוץ'!$A:$A,0))</f>
        <v>8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6</v>
      </c>
      <c r="G35">
        <f t="shared" si="2"/>
        <v>0.25</v>
      </c>
      <c r="H35">
        <f>COUNTIFS('מועמדים 2026'!$A:$A,$C35)</f>
        <v>20</v>
      </c>
      <c r="I35" t="str">
        <f t="shared" si="1"/>
        <v/>
      </c>
    </row>
    <row r="36" spans="1:9">
      <c r="A36" t="s">
        <v>25</v>
      </c>
      <c r="B36" t="str">
        <f>INDEX('סקרים לפי ערוץ'!$B:$B,MATCH($A36,'סקרים לפי ערוץ'!$A:$A,0))</f>
        <v>2026-10-16</v>
      </c>
      <c r="C36" t="s">
        <v>16</v>
      </c>
      <c r="D36">
        <f>INDEX('סקרים לפי ערוץ'!J:J,MATCH($A36,'סקרים לפי ערוץ'!$A:$A,0))</f>
        <v>9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5</v>
      </c>
      <c r="G36">
        <f t="shared" si="2"/>
        <v>0.44444444444444442</v>
      </c>
      <c r="H36">
        <f>COUNTIFS('מועמדים 2026'!$A:$A,$C36)</f>
        <v>20</v>
      </c>
      <c r="I36" t="str">
        <f t="shared" si="1"/>
        <v/>
      </c>
    </row>
    <row r="37" spans="1:9">
      <c r="A37" t="s">
        <v>25</v>
      </c>
      <c r="B37" t="str">
        <f>INDEX('סקרים לפי ערוץ'!$B:$B,MATCH($A37,'סקרים לפי ערוץ'!$A:$A,0))</f>
        <v>2026-10-16</v>
      </c>
      <c r="C37" t="s">
        <v>17</v>
      </c>
      <c r="D37">
        <f>INDEX('סקרים לפי ערוץ'!K:K,MATCH($A37,'סקרים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18</v>
      </c>
      <c r="I37" t="str">
        <f t="shared" si="1"/>
        <v/>
      </c>
    </row>
    <row r="38" spans="1:9">
      <c r="A38" t="s">
        <v>25</v>
      </c>
      <c r="B38" t="str">
        <f>INDEX('סקרים לפי ערוץ'!$B:$B,MATCH($A38,'סקרים לפי ערוץ'!$A:$A,0))</f>
        <v>2026-10-16</v>
      </c>
      <c r="C38" t="s">
        <v>18</v>
      </c>
      <c r="D38">
        <f>INDEX('סקרים לפי ערוץ'!L:L,MATCH($A38,'סקרים לפי ערוץ'!$A:$A,0))</f>
        <v>6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5</v>
      </c>
      <c r="G38">
        <f t="shared" si="2"/>
        <v>0.16666666666666666</v>
      </c>
      <c r="H38">
        <f>COUNTIFS('מועמדים 2026'!$A:$A,$C38)</f>
        <v>6</v>
      </c>
      <c r="I38" t="str">
        <f t="shared" si="1"/>
        <v/>
      </c>
    </row>
    <row r="39" spans="1:9">
      <c r="A39" t="s">
        <v>25</v>
      </c>
      <c r="B39" t="str">
        <f>INDEX('סקרים לפי ערוץ'!$B:$B,MATCH($A39,'סקרים לפי ערוץ'!$A:$A,0))</f>
        <v>2026-10-16</v>
      </c>
      <c r="C39" t="s">
        <v>19</v>
      </c>
      <c r="D39">
        <f>INDEX('סקרים לפי ערוץ'!M:M,MATCH($A39,'סקרים לפי ערוץ'!$A:$A,0))</f>
        <v>8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6</v>
      </c>
      <c r="G39">
        <f t="shared" si="2"/>
        <v>0.25</v>
      </c>
      <c r="H39">
        <f>COUNTIFS('מועמדים 2026'!$A:$A,$C39)</f>
        <v>17</v>
      </c>
      <c r="I39" t="str">
        <f t="shared" si="1"/>
        <v/>
      </c>
    </row>
    <row r="40" spans="1:9">
      <c r="A40" t="s">
        <v>25</v>
      </c>
      <c r="B40" t="str">
        <f>INDEX('סקרים לפי ערוץ'!$B:$B,MATCH($A40,'סקרים לפי ערוץ'!$A:$A,0))</f>
        <v>2026-10-16</v>
      </c>
      <c r="C40" t="s">
        <v>20</v>
      </c>
      <c r="D40">
        <f>INDEX('סקרים לפי ערוץ'!N:N,MATCH($A40,'סקרים לפי ערוץ'!$A:$A,0))</f>
        <v>13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7</v>
      </c>
      <c r="G40">
        <f t="shared" si="2"/>
        <v>0.46153846153846156</v>
      </c>
      <c r="H40">
        <f>COUNTIFS('מועמדים 2026'!$A:$A,$C40)</f>
        <v>26</v>
      </c>
      <c r="I40" t="str">
        <f t="shared" si="1"/>
        <v/>
      </c>
    </row>
    <row r="41" spans="1:9">
      <c r="A41" t="s">
        <v>25</v>
      </c>
      <c r="B41" t="str">
        <f>INDEX('סקרים לפי ערוץ'!$B:$B,MATCH($A41,'סקרים לפי ערוץ'!$A:$A,0))</f>
        <v>2026-10-16</v>
      </c>
      <c r="C41" t="s">
        <v>21</v>
      </c>
      <c r="D41">
        <f>INDEX('סקרים לפי ערוץ'!O:O,MATCH($A41,'סקרים לפי ערוץ'!$A:$A,0))</f>
        <v>21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10</v>
      </c>
      <c r="G41">
        <f t="shared" si="2"/>
        <v>0.52380952380952384</v>
      </c>
      <c r="H41">
        <f>COUNTIFS('מועמדים 2026'!$A:$A,$C41)</f>
        <v>40</v>
      </c>
      <c r="I41" t="str">
        <f t="shared" si="1"/>
        <v/>
      </c>
    </row>
    <row r="42" spans="1:9">
      <c r="A42" t="s">
        <v>25</v>
      </c>
      <c r="B42" t="str">
        <f>INDEX('סקרים לפי ערוץ'!$B:$B,MATCH($A42,'סקרים לפי ערוץ'!$A:$A,0))</f>
        <v>2026-10-16</v>
      </c>
      <c r="C42" t="s">
        <v>22</v>
      </c>
      <c r="D42">
        <f>INDEX('סקרים לפי ערוץ'!P:P,MATCH($A42,'סקרים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1"/>
        <v/>
      </c>
    </row>
    <row r="43" spans="1:9">
      <c r="A43" t="s">
        <v>25</v>
      </c>
      <c r="B43" t="str">
        <f>INDEX('סקרים לפי ערוץ'!$B:$B,MATCH($A43,'סקרים לפי ערוץ'!$A:$A,0))</f>
        <v>2026-10-16</v>
      </c>
      <c r="C43" t="s">
        <v>23</v>
      </c>
      <c r="D43">
        <f>INDEX('סקרים לפי ערוץ'!Q:Q,MATCH($A43,'סקרים לפי ערוץ'!$A:$A,0))</f>
        <v>4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3</v>
      </c>
      <c r="G43">
        <f t="shared" si="2"/>
        <v>0.25</v>
      </c>
      <c r="H43">
        <f>COUNTIFS('מועמדים 2026'!$A:$A,$C43)</f>
        <v>20</v>
      </c>
      <c r="I43" t="str">
        <f t="shared" si="1"/>
        <v/>
      </c>
    </row>
    <row r="44" spans="1:9">
      <c r="A44" t="s">
        <v>26</v>
      </c>
      <c r="B44" t="str">
        <f>INDEX('סקרים לפי ערוץ'!$B:$B,MATCH($A44,'סקרים לפי ערוץ'!$A:$A,0))</f>
        <v>2026-10-15</v>
      </c>
      <c r="C44" t="s">
        <v>10</v>
      </c>
      <c r="D44">
        <f>INDEX('סקרים לפי ערוץ'!E:E,MATCH($A44,'סקרים לפי ערוץ'!$A:$A,0))</f>
        <v>21</v>
      </c>
      <c r="E44">
        <f>COUNTIFS('מועמדים 2026'!$A:$A,$C44,'מועמדים 2026'!$D:$D,"נ",'מועמדים 2026'!$B:$B,"&lt;="&amp;$D44)</f>
        <v>3</v>
      </c>
      <c r="F44">
        <f>COUNTIFS('מועמדים 2026'!$A:$A,$C44,'מועמדים 2026'!$D:$D,"ז",'מועמדים 2026'!$B:$B,"&lt;="&amp;$D44)</f>
        <v>18</v>
      </c>
      <c r="G44">
        <f t="shared" si="2"/>
        <v>0.14285714285714285</v>
      </c>
      <c r="H44">
        <f>COUNTIFS('מועמדים 2026'!$A:$A,$C44)</f>
        <v>36</v>
      </c>
      <c r="I44" t="str">
        <f t="shared" si="1"/>
        <v/>
      </c>
    </row>
    <row r="45" spans="1:9">
      <c r="A45" t="s">
        <v>26</v>
      </c>
      <c r="B45" t="str">
        <f>INDEX('סקרים לפי ערוץ'!$B:$B,MATCH($A45,'סקרים לפי ערוץ'!$A:$A,0))</f>
        <v>2026-10-15</v>
      </c>
      <c r="C45" t="s">
        <v>11</v>
      </c>
      <c r="D45">
        <f>INDEX('סקרים לפי ערוץ'!F:F,MATCH($A45,'סקרים לפי ערוץ'!$A:$A,0))</f>
        <v>7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7</v>
      </c>
      <c r="G45">
        <f t="shared" si="2"/>
        <v>0</v>
      </c>
      <c r="H45">
        <f>COUNTIFS('מועמדים 2026'!$A:$A,$C45)</f>
        <v>9</v>
      </c>
      <c r="I45" t="str">
        <f t="shared" si="1"/>
        <v/>
      </c>
    </row>
    <row r="46" spans="1:9">
      <c r="A46" t="s">
        <v>26</v>
      </c>
      <c r="B46" t="str">
        <f>INDEX('סקרים לפי ערוץ'!$B:$B,MATCH($A46,'סקרים לפי ערוץ'!$A:$A,0))</f>
        <v>2026-10-15</v>
      </c>
      <c r="C46" t="s">
        <v>12</v>
      </c>
      <c r="D46">
        <f>INDEX('סקרים לפי ערוץ'!G:G,MATCH($A46,'סקרים לפי ערוץ'!$A:$A,0))</f>
        <v>7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7</v>
      </c>
      <c r="G46">
        <f t="shared" si="2"/>
        <v>0</v>
      </c>
      <c r="H46">
        <f>COUNTIFS('מועמדים 2026'!$A:$A,$C46)</f>
        <v>11</v>
      </c>
      <c r="I46" t="str">
        <f t="shared" si="1"/>
        <v/>
      </c>
    </row>
    <row r="47" spans="1:9">
      <c r="A47" t="s">
        <v>26</v>
      </c>
      <c r="B47" t="str">
        <f>INDEX('סקרים לפי ערוץ'!$B:$B,MATCH($A47,'סקרים לפי ערוץ'!$A:$A,0))</f>
        <v>2026-10-15</v>
      </c>
      <c r="C47" t="s">
        <v>13</v>
      </c>
      <c r="D47" t="e">
        <f>INDEX('סקרים לפי ערוץ'!#REF!,MATCH($A47,'סקרים לפי ערוץ'!$A:$A,0))</f>
        <v>#REF!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 t="e">
        <f t="shared" si="2"/>
        <v>#REF!</v>
      </c>
      <c r="H47">
        <f>COUNTIFS('מועמדים 2026'!$A:$A,$C47)</f>
        <v>5</v>
      </c>
      <c r="I47" t="e">
        <f t="shared" si="1"/>
        <v>#REF!</v>
      </c>
    </row>
    <row r="48" spans="1:9">
      <c r="A48" t="s">
        <v>26</v>
      </c>
      <c r="B48" t="str">
        <f>INDEX('סקרים לפי ערוץ'!$B:$B,MATCH($A48,'סקרים לפי ערוץ'!$A:$A,0))</f>
        <v>2026-10-15</v>
      </c>
      <c r="C48" t="s">
        <v>14</v>
      </c>
      <c r="D48">
        <f>INDEX('סקרים לפי ערוץ'!H:H,MATCH($A48,'סקרים לפי ערוץ'!$A:$A,0))</f>
        <v>9</v>
      </c>
      <c r="E48">
        <f>COUNTIFS('מועמדים 2026'!$A:$A,$C48,'מועמדים 2026'!$D:$D,"נ",'מועמדים 2026'!$B:$B,"&lt;="&amp;$D48)</f>
        <v>2</v>
      </c>
      <c r="F48">
        <f>COUNTIFS('מועמדים 2026'!$A:$A,$C48,'מועמדים 2026'!$D:$D,"ז",'מועמדים 2026'!$B:$B,"&lt;="&amp;$D48)</f>
        <v>7</v>
      </c>
      <c r="G48">
        <f t="shared" si="2"/>
        <v>0.22222222222222221</v>
      </c>
      <c r="H48">
        <f>COUNTIFS('מועמדים 2026'!$A:$A,$C48)</f>
        <v>10</v>
      </c>
      <c r="I48" t="str">
        <f t="shared" si="1"/>
        <v/>
      </c>
    </row>
    <row r="49" spans="1:9">
      <c r="A49" t="s">
        <v>26</v>
      </c>
      <c r="B49" t="str">
        <f>INDEX('סקרים לפי ערוץ'!$B:$B,MATCH($A49,'סקרים לפי ערוץ'!$A:$A,0))</f>
        <v>2026-10-15</v>
      </c>
      <c r="C49" t="s">
        <v>15</v>
      </c>
      <c r="D49">
        <f>INDEX('סקרים לפי ערוץ'!I:I,MATCH($A49,'סקרים לפי ערוץ'!$A:$A,0))</f>
        <v>8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6</v>
      </c>
      <c r="G49">
        <f t="shared" si="2"/>
        <v>0.25</v>
      </c>
      <c r="H49">
        <f>COUNTIFS('מועמדים 2026'!$A:$A,$C49)</f>
        <v>20</v>
      </c>
      <c r="I49" t="str">
        <f t="shared" si="1"/>
        <v/>
      </c>
    </row>
    <row r="50" spans="1:9">
      <c r="A50" t="s">
        <v>26</v>
      </c>
      <c r="B50" t="str">
        <f>INDEX('סקרים לפי ערוץ'!$B:$B,MATCH($A50,'סקרים לפי ערוץ'!$A:$A,0))</f>
        <v>2026-10-15</v>
      </c>
      <c r="C50" t="s">
        <v>16</v>
      </c>
      <c r="D50">
        <f>INDEX('סקרים לפי ערוץ'!J:J,MATCH($A50,'סקרים לפי ערוץ'!$A:$A,0))</f>
        <v>8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4</v>
      </c>
      <c r="G50">
        <f t="shared" si="2"/>
        <v>0.5</v>
      </c>
      <c r="H50">
        <f>COUNTIFS('מועמדים 2026'!$A:$A,$C50)</f>
        <v>20</v>
      </c>
      <c r="I50" t="str">
        <f t="shared" si="1"/>
        <v/>
      </c>
    </row>
    <row r="51" spans="1:9">
      <c r="A51" t="s">
        <v>26</v>
      </c>
      <c r="B51" t="str">
        <f>INDEX('סקרים לפי ערוץ'!$B:$B,MATCH($A51,'סקרים לפי ערוץ'!$A:$A,0))</f>
        <v>2026-10-15</v>
      </c>
      <c r="C51" t="s">
        <v>17</v>
      </c>
      <c r="D51">
        <f>INDEX('סקרים לפי ערוץ'!K:K,MATCH($A51,'סקרים לפי ערוץ'!$A:$A,0))</f>
        <v>6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5</v>
      </c>
      <c r="G51">
        <f t="shared" si="2"/>
        <v>0.16666666666666666</v>
      </c>
      <c r="H51">
        <f>COUNTIFS('מועמדים 2026'!$A:$A,$C51)</f>
        <v>18</v>
      </c>
      <c r="I51" t="str">
        <f t="shared" si="1"/>
        <v/>
      </c>
    </row>
    <row r="52" spans="1:9">
      <c r="A52" t="s">
        <v>26</v>
      </c>
      <c r="B52" t="str">
        <f>INDEX('סקרים לפי ערוץ'!$B:$B,MATCH($A52,'סקרים לפי ערוץ'!$A:$A,0))</f>
        <v>2026-10-15</v>
      </c>
      <c r="C52" t="s">
        <v>18</v>
      </c>
      <c r="D52">
        <f>INDEX('סקרים לפי ערוץ'!L:L,MATCH($A52,'סקרים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1"/>
        <v/>
      </c>
    </row>
    <row r="53" spans="1:9">
      <c r="A53" t="s">
        <v>26</v>
      </c>
      <c r="B53" t="str">
        <f>INDEX('סקרים לפי ערוץ'!$B:$B,MATCH($A53,'סקרים לפי ערוץ'!$A:$A,0))</f>
        <v>2026-10-15</v>
      </c>
      <c r="C53" t="s">
        <v>19</v>
      </c>
      <c r="D53">
        <f>INDEX('סקרים לפי ערוץ'!M:M,MATCH($A53,'סקרים לפי ערוץ'!$A:$A,0))</f>
        <v>9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7</v>
      </c>
      <c r="G53">
        <f t="shared" si="2"/>
        <v>0.22222222222222221</v>
      </c>
      <c r="H53">
        <f>COUNTIFS('מועמדים 2026'!$A:$A,$C53)</f>
        <v>17</v>
      </c>
      <c r="I53" t="str">
        <f t="shared" si="1"/>
        <v/>
      </c>
    </row>
    <row r="54" spans="1:9">
      <c r="A54" t="s">
        <v>26</v>
      </c>
      <c r="B54" t="str">
        <f>INDEX('סקרים לפי ערוץ'!$B:$B,MATCH($A54,'סקרים לפי ערוץ'!$A:$A,0))</f>
        <v>2026-10-15</v>
      </c>
      <c r="C54" t="s">
        <v>20</v>
      </c>
      <c r="D54">
        <f>INDEX('סקרים לפי ערוץ'!N:N,MATCH($A54,'סקרים לפי ערוץ'!$A:$A,0))</f>
        <v>12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6</v>
      </c>
      <c r="G54">
        <f t="shared" si="2"/>
        <v>0.5</v>
      </c>
      <c r="H54">
        <f>COUNTIFS('מועמדים 2026'!$A:$A,$C54)</f>
        <v>26</v>
      </c>
      <c r="I54" t="str">
        <f t="shared" si="1"/>
        <v/>
      </c>
    </row>
    <row r="55" spans="1:9">
      <c r="A55" t="s">
        <v>26</v>
      </c>
      <c r="B55" t="str">
        <f>INDEX('סקרים לפי ערוץ'!$B:$B,MATCH($A55,'סקרים לפי ערוץ'!$A:$A,0))</f>
        <v>2026-10-15</v>
      </c>
      <c r="C55" t="s">
        <v>21</v>
      </c>
      <c r="D55">
        <f>INDEX('סקרים לפי ערוץ'!O:O,MATCH($A55,'סקרים לפי ערוץ'!$A:$A,0))</f>
        <v>24</v>
      </c>
      <c r="E55">
        <f>COUNTIFS('מועמדים 2026'!$A:$A,$C55,'מועמדים 2026'!$D:$D,"נ",'מועמדים 2026'!$B:$B,"&lt;="&amp;$D55)</f>
        <v>12</v>
      </c>
      <c r="F55">
        <f>COUNTIFS('מועמדים 2026'!$A:$A,$C55,'מועמדים 2026'!$D:$D,"ז",'מועמדים 2026'!$B:$B,"&lt;="&amp;$D55)</f>
        <v>12</v>
      </c>
      <c r="G55">
        <f t="shared" si="2"/>
        <v>0.5</v>
      </c>
      <c r="H55">
        <f>COUNTIFS('מועמדים 2026'!$A:$A,$C55)</f>
        <v>40</v>
      </c>
      <c r="I55" t="str">
        <f t="shared" si="1"/>
        <v/>
      </c>
    </row>
    <row r="56" spans="1:9">
      <c r="A56" t="s">
        <v>26</v>
      </c>
      <c r="B56" t="str">
        <f>INDEX('סקרים לפי ערוץ'!$B:$B,MATCH($A56,'סקרים לפי ערוץ'!$A:$A,0))</f>
        <v>2026-10-15</v>
      </c>
      <c r="C56" t="s">
        <v>22</v>
      </c>
      <c r="D56">
        <f>INDEX('סקרים לפי ערוץ'!P:P,MATCH($A56,'סקרים לפי ערוץ'!$A:$A,0))</f>
        <v>0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0</v>
      </c>
      <c r="G56">
        <f t="shared" si="2"/>
        <v>0</v>
      </c>
      <c r="H56">
        <f>COUNTIFS('מועמדים 2026'!$A:$A,$C56)</f>
        <v>11</v>
      </c>
      <c r="I56" t="str">
        <f t="shared" si="1"/>
        <v/>
      </c>
    </row>
    <row r="57" spans="1:9">
      <c r="A57" t="s">
        <v>26</v>
      </c>
      <c r="B57" t="str">
        <f>INDEX('סקרים לפי ערוץ'!$B:$B,MATCH($A57,'סקרים לפי ערוץ'!$A:$A,0))</f>
        <v>2026-10-15</v>
      </c>
      <c r="C57" t="s">
        <v>23</v>
      </c>
      <c r="D57">
        <f>INDEX('סקרים לפי ערוץ'!Q:Q,MATCH($A57,'סקרים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20</v>
      </c>
      <c r="I57" t="str">
        <f t="shared" si="1"/>
        <v/>
      </c>
    </row>
    <row r="58" spans="1:9">
      <c r="A58" t="s">
        <v>27</v>
      </c>
      <c r="B58" t="str">
        <f>INDEX('סקרים לפי ערוץ'!$B:$B,MATCH($A58,'סקרים לפי ערוץ'!$A:$A,0))</f>
        <v>2026-10-15</v>
      </c>
      <c r="C58" t="s">
        <v>10</v>
      </c>
      <c r="D58">
        <f>INDEX('סקרים לפי ערוץ'!E:E,MATCH($A58,'סקרים לפי ערוץ'!$A:$A,0))</f>
        <v>20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17</v>
      </c>
      <c r="G58">
        <f t="shared" si="2"/>
        <v>0.15</v>
      </c>
      <c r="H58">
        <f>COUNTIFS('מועמדים 2026'!$A:$A,$C58)</f>
        <v>36</v>
      </c>
      <c r="I58" t="str">
        <f t="shared" si="1"/>
        <v/>
      </c>
    </row>
    <row r="59" spans="1:9">
      <c r="A59" t="s">
        <v>27</v>
      </c>
      <c r="B59" t="str">
        <f>INDEX('סקרים לפי ערוץ'!$B:$B,MATCH($A59,'סקרים לפי ערוץ'!$A:$A,0))</f>
        <v>2026-10-15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1"/>
        <v/>
      </c>
    </row>
    <row r="60" spans="1:9">
      <c r="A60" t="s">
        <v>27</v>
      </c>
      <c r="B60" t="str">
        <f>INDEX('סקרים לפי ערוץ'!$B:$B,MATCH($A60,'סקרים לפי ערוץ'!$A:$A,0))</f>
        <v>2026-10-15</v>
      </c>
      <c r="C60" t="s">
        <v>12</v>
      </c>
      <c r="D60">
        <f>INDEX('סקרים לפי ערוץ'!G:G,MATCH($A60,'סקרים לפי ערוץ'!$A:$A,0))</f>
        <v>8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8</v>
      </c>
      <c r="G60">
        <f t="shared" si="2"/>
        <v>0</v>
      </c>
      <c r="H60">
        <f>COUNTIFS('מועמדים 2026'!$A:$A,$C60)</f>
        <v>11</v>
      </c>
      <c r="I60" t="str">
        <f t="shared" si="1"/>
        <v/>
      </c>
    </row>
    <row r="61" spans="1:9">
      <c r="A61" t="s">
        <v>27</v>
      </c>
      <c r="B61" t="str">
        <f>INDEX('סקרים לפי ערוץ'!$B:$B,MATCH($A61,'סקרים לפי ערוץ'!$A:$A,0))</f>
        <v>2026-10-15</v>
      </c>
      <c r="C61" t="s">
        <v>13</v>
      </c>
      <c r="D61" t="e">
        <f>INDEX('סקרים לפי ערוץ'!#REF!,MATCH($A61,'סקרים לפי ערוץ'!$A:$A,0))</f>
        <v>#REF!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 t="e">
        <f t="shared" si="2"/>
        <v>#REF!</v>
      </c>
      <c r="H61">
        <f>COUNTIFS('מועמדים 2026'!$A:$A,$C61)</f>
        <v>5</v>
      </c>
      <c r="I61" t="e">
        <f t="shared" si="1"/>
        <v>#REF!</v>
      </c>
    </row>
    <row r="62" spans="1:9">
      <c r="A62" t="s">
        <v>27</v>
      </c>
      <c r="B62" t="str">
        <f>INDEX('סקרים לפי ערוץ'!$B:$B,MATCH($A62,'סקרים לפי ערוץ'!$A:$A,0))</f>
        <v>2026-10-15</v>
      </c>
      <c r="C62" t="s">
        <v>14</v>
      </c>
      <c r="D62">
        <f>INDEX('סקרים לפי ערוץ'!H:H,MATCH($A62,'סקרים לפי ערוץ'!$A:$A,0))</f>
        <v>8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7</v>
      </c>
      <c r="G62">
        <f t="shared" si="2"/>
        <v>0.125</v>
      </c>
      <c r="H62">
        <f>COUNTIFS('מועמדים 2026'!$A:$A,$C62)</f>
        <v>10</v>
      </c>
      <c r="I62" t="str">
        <f t="shared" si="1"/>
        <v/>
      </c>
    </row>
    <row r="63" spans="1:9">
      <c r="A63" t="s">
        <v>27</v>
      </c>
      <c r="B63" t="str">
        <f>INDEX('סקרים לפי ערוץ'!$B:$B,MATCH($A63,'סקרים לפי ערוץ'!$A:$A,0))</f>
        <v>2026-10-15</v>
      </c>
      <c r="C63" t="s">
        <v>15</v>
      </c>
      <c r="D63">
        <f>INDEX('סקרים לפי ערוץ'!I:I,MATCH($A63,'סקרים לפי ערוץ'!$A:$A,0))</f>
        <v>9</v>
      </c>
      <c r="E63">
        <f>COUNTIFS('מועמדים 2026'!$A:$A,$C63,'מועמדים 2026'!$D:$D,"נ",'מועמדים 2026'!$B:$B,"&lt;="&amp;$D63)</f>
        <v>3</v>
      </c>
      <c r="F63">
        <f>COUNTIFS('מועמדים 2026'!$A:$A,$C63,'מועמדים 2026'!$D:$D,"ז",'מועמדים 2026'!$B:$B,"&lt;="&amp;$D63)</f>
        <v>6</v>
      </c>
      <c r="G63">
        <f t="shared" si="2"/>
        <v>0.33333333333333331</v>
      </c>
      <c r="H63">
        <f>COUNTIFS('מועמדים 2026'!$A:$A,$C63)</f>
        <v>20</v>
      </c>
      <c r="I63" t="str">
        <f t="shared" si="1"/>
        <v/>
      </c>
    </row>
    <row r="64" spans="1:9">
      <c r="A64" t="s">
        <v>27</v>
      </c>
      <c r="B64" t="str">
        <f>INDEX('סקרים לפי ערוץ'!$B:$B,MATCH($A64,'סקרים לפי ערוץ'!$A:$A,0))</f>
        <v>2026-10-15</v>
      </c>
      <c r="C64" t="s">
        <v>16</v>
      </c>
      <c r="D64">
        <f>INDEX('סקרים לפי ערוץ'!J:J,MATCH($A64,'סקרים לפי ערוץ'!$A:$A,0))</f>
        <v>8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4</v>
      </c>
      <c r="G64">
        <f t="shared" si="2"/>
        <v>0.5</v>
      </c>
      <c r="H64">
        <f>COUNTIFS('מועמדים 2026'!$A:$A,$C64)</f>
        <v>20</v>
      </c>
      <c r="I64" t="str">
        <f t="shared" si="1"/>
        <v/>
      </c>
    </row>
    <row r="65" spans="1:9">
      <c r="A65" t="s">
        <v>27</v>
      </c>
      <c r="B65" t="str">
        <f>INDEX('סקרים לפי ערוץ'!$B:$B,MATCH($A65,'סקרים לפי ערוץ'!$A:$A,0))</f>
        <v>2026-10-15</v>
      </c>
      <c r="C65" t="s">
        <v>17</v>
      </c>
      <c r="D65">
        <f>INDEX('סקרים לפי ערוץ'!K:K,MATCH($A65,'סקרים לפי ערוץ'!$A:$A,0))</f>
        <v>6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5</v>
      </c>
      <c r="G65">
        <f t="shared" si="2"/>
        <v>0.16666666666666666</v>
      </c>
      <c r="H65">
        <f>COUNTIFS('מועמדים 2026'!$A:$A,$C65)</f>
        <v>18</v>
      </c>
      <c r="I65" t="str">
        <f t="shared" si="1"/>
        <v/>
      </c>
    </row>
    <row r="66" spans="1:9">
      <c r="A66" t="s">
        <v>27</v>
      </c>
      <c r="B66" t="str">
        <f>INDEX('סקרים לפי ערוץ'!$B:$B,MATCH($A66,'סקרים לפי ערוץ'!$A:$A,0))</f>
        <v>2026-10-15</v>
      </c>
      <c r="C66" t="s">
        <v>18</v>
      </c>
      <c r="D66">
        <f>INDEX('סקרים לפי ערוץ'!L:L,MATCH($A66,'סקרים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3">IF($D66=0,0,$E66/$D66)</f>
        <v>0.2</v>
      </c>
      <c r="H66">
        <f>COUNTIFS('מועמדים 2026'!$A:$A,$C66)</f>
        <v>6</v>
      </c>
      <c r="I66" t="str">
        <f t="shared" si="1"/>
        <v/>
      </c>
    </row>
    <row r="67" spans="1:9">
      <c r="A67" t="s">
        <v>27</v>
      </c>
      <c r="B67" t="str">
        <f>INDEX('סקרים לפי ערוץ'!$B:$B,MATCH($A67,'סקרים לפי ערוץ'!$A:$A,0))</f>
        <v>2026-10-15</v>
      </c>
      <c r="C67" t="s">
        <v>19</v>
      </c>
      <c r="D67">
        <f>INDEX('סקרים לפי ערוץ'!M:M,MATCH($A67,'סקרים לפי ערוץ'!$A:$A,0))</f>
        <v>7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5</v>
      </c>
      <c r="G67">
        <f t="shared" si="3"/>
        <v>0.2857142857142857</v>
      </c>
      <c r="H67">
        <f>COUNTIFS('מועמדים 2026'!$A:$A,$C67)</f>
        <v>17</v>
      </c>
      <c r="I67" t="str">
        <f t="shared" ref="I67:I130" si="4">IF(AND($D67&gt;0,$H67=0),"אין נתוני מועמדים לחישוב",IF(D67&gt;H67,"חסרים מועמדים ברשימה",""))</f>
        <v/>
      </c>
    </row>
    <row r="68" spans="1:9">
      <c r="A68" t="s">
        <v>27</v>
      </c>
      <c r="B68" t="str">
        <f>INDEX('סקרים לפי ערוץ'!$B:$B,MATCH($A68,'סקרים לפי ערוץ'!$A:$A,0))</f>
        <v>2026-10-15</v>
      </c>
      <c r="C68" t="s">
        <v>20</v>
      </c>
      <c r="D68">
        <f>INDEX('סקרים לפי ערוץ'!N:N,MATCH($A68,'סקרים לפי ערוץ'!$A:$A,0))</f>
        <v>11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5</v>
      </c>
      <c r="G68">
        <f t="shared" si="3"/>
        <v>0.54545454545454541</v>
      </c>
      <c r="H68">
        <f>COUNTIFS('מועמדים 2026'!$A:$A,$C68)</f>
        <v>26</v>
      </c>
      <c r="I68" t="str">
        <f t="shared" si="4"/>
        <v/>
      </c>
    </row>
    <row r="69" spans="1:9">
      <c r="A69" t="s">
        <v>27</v>
      </c>
      <c r="B69" t="str">
        <f>INDEX('סקרים לפי ערוץ'!$B:$B,MATCH($A69,'סקרים לפי ערוץ'!$A:$A,0))</f>
        <v>2026-10-15</v>
      </c>
      <c r="C69" t="s">
        <v>21</v>
      </c>
      <c r="D69">
        <f>INDEX('סקרים לפי ערוץ'!O:O,MATCH($A69,'סקרים לפי ערוץ'!$A:$A,0))</f>
        <v>26</v>
      </c>
      <c r="E69">
        <f>COUNTIFS('מועמדים 2026'!$A:$A,$C69,'מועמדים 2026'!$D:$D,"נ",'מועמדים 2026'!$B:$B,"&lt;="&amp;$D69)</f>
        <v>13</v>
      </c>
      <c r="F69">
        <f>COUNTIFS('מועמדים 2026'!$A:$A,$C69,'מועמדים 2026'!$D:$D,"ז",'מועמדים 2026'!$B:$B,"&lt;="&amp;$D69)</f>
        <v>13</v>
      </c>
      <c r="G69">
        <f t="shared" si="3"/>
        <v>0.5</v>
      </c>
      <c r="H69">
        <f>COUNTIFS('מועמדים 2026'!$A:$A,$C69)</f>
        <v>40</v>
      </c>
      <c r="I69" t="str">
        <f t="shared" si="4"/>
        <v/>
      </c>
    </row>
    <row r="70" spans="1:9">
      <c r="A70" t="s">
        <v>27</v>
      </c>
      <c r="B70" t="str">
        <f>INDEX('סקרים לפי ערוץ'!$B:$B,MATCH($A70,'סקרים לפי ערוץ'!$A:$A,0))</f>
        <v>2026-10-15</v>
      </c>
      <c r="C70" t="s">
        <v>22</v>
      </c>
      <c r="D70">
        <f>INDEX('סקרים לפי ערוץ'!P:P,MATCH($A70,'סקרים לפי ערוץ'!$A:$A,0))</f>
        <v>0</v>
      </c>
      <c r="E70">
        <f>COUNTIFS('מועמדים 2026'!$A:$A,$C70,'מועמדים 2026'!$D:$D,"נ",'מועמדים 2026'!$B:$B,"&lt;="&amp;$D70)</f>
        <v>0</v>
      </c>
      <c r="F70">
        <f>COUNTIFS('מועמדים 2026'!$A:$A,$C70,'מועמדים 2026'!$D:$D,"ז",'מועמדים 2026'!$B:$B,"&lt;="&amp;$D70)</f>
        <v>0</v>
      </c>
      <c r="G70">
        <f t="shared" si="3"/>
        <v>0</v>
      </c>
      <c r="H70">
        <f>COUNTIFS('מועמדים 2026'!$A:$A,$C70)</f>
        <v>11</v>
      </c>
      <c r="I70" t="str">
        <f t="shared" si="4"/>
        <v/>
      </c>
    </row>
    <row r="71" spans="1:9">
      <c r="A71" t="s">
        <v>27</v>
      </c>
      <c r="B71" t="str">
        <f>INDEX('סקרים לפי ערוץ'!$B:$B,MATCH($A71,'סקרים לפי ערוץ'!$A:$A,0))</f>
        <v>2026-10-15</v>
      </c>
      <c r="C71" t="s">
        <v>23</v>
      </c>
      <c r="D71">
        <f>INDEX('סקרים לפי ערוץ'!Q:Q,MATCH($A71,'סקרים לפי ערוץ'!$A:$A,0))</f>
        <v>4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3</v>
      </c>
      <c r="G71">
        <f t="shared" si="3"/>
        <v>0.25</v>
      </c>
      <c r="H71">
        <f>COUNTIFS('מועמדים 2026'!$A:$A,$C71)</f>
        <v>20</v>
      </c>
      <c r="I71" t="str">
        <f t="shared" si="4"/>
        <v/>
      </c>
    </row>
    <row r="72" spans="1:9">
      <c r="A72" t="s">
        <v>28</v>
      </c>
      <c r="B72" t="str">
        <f>INDEX('סקרים לפי ערוץ'!$B:$B,MATCH($A72,'סקרים לפי ערוץ'!$A:$A,0))</f>
        <v>2026-10-14</v>
      </c>
      <c r="C72" t="s">
        <v>10</v>
      </c>
      <c r="D72">
        <f>INDEX('סקרים לפי ערוץ'!E:E,MATCH($A72,'סקרים לפי ערוץ'!$A:$A,0))</f>
        <v>18</v>
      </c>
      <c r="E72">
        <f>COUNTIFS('מועמדים 2026'!$A:$A,$C72,'מועמדים 2026'!$D:$D,"נ",'מועמדים 2026'!$B:$B,"&lt;="&amp;$D72)</f>
        <v>2</v>
      </c>
      <c r="F72">
        <f>COUNTIFS('מועמדים 2026'!$A:$A,$C72,'מועמדים 2026'!$D:$D,"ז",'מועמדים 2026'!$B:$B,"&lt;="&amp;$D72)</f>
        <v>16</v>
      </c>
      <c r="G72">
        <f t="shared" si="3"/>
        <v>0.1111111111111111</v>
      </c>
      <c r="H72">
        <f>COUNTIFS('מועמדים 2026'!$A:$A,$C72)</f>
        <v>36</v>
      </c>
      <c r="I72" t="str">
        <f t="shared" si="4"/>
        <v/>
      </c>
    </row>
    <row r="73" spans="1:9">
      <c r="A73" t="s">
        <v>28</v>
      </c>
      <c r="B73" t="str">
        <f>INDEX('סקרים לפי ערוץ'!$B:$B,MATCH($A73,'סקרים לפי ערוץ'!$A:$A,0))</f>
        <v>2026-10-14</v>
      </c>
      <c r="C73" t="s">
        <v>11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3"/>
        <v>0</v>
      </c>
      <c r="H73">
        <f>COUNTIFS('מועמדים 2026'!$A:$A,$C73)</f>
        <v>9</v>
      </c>
      <c r="I73" t="str">
        <f t="shared" si="4"/>
        <v/>
      </c>
    </row>
    <row r="74" spans="1:9">
      <c r="A74" t="s">
        <v>28</v>
      </c>
      <c r="B74" t="str">
        <f>INDEX('סקרים לפי ערוץ'!$B:$B,MATCH($A74,'סקרים לפי ערוץ'!$A:$A,0))</f>
        <v>2026-10-14</v>
      </c>
      <c r="C74" t="s">
        <v>12</v>
      </c>
      <c r="D74">
        <f>INDEX('סקרים לפי ערוץ'!G:G,MATCH($A74,'סקרים לפי ערוץ'!$A:$A,0))</f>
        <v>7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7</v>
      </c>
      <c r="G74">
        <f t="shared" si="3"/>
        <v>0</v>
      </c>
      <c r="H74">
        <f>COUNTIFS('מועמדים 2026'!$A:$A,$C74)</f>
        <v>11</v>
      </c>
      <c r="I74" t="str">
        <f t="shared" si="4"/>
        <v/>
      </c>
    </row>
    <row r="75" spans="1:9">
      <c r="A75" t="s">
        <v>28</v>
      </c>
      <c r="B75" t="str">
        <f>INDEX('סקרים לפי ערוץ'!$B:$B,MATCH($A75,'סקרים לפי ערוץ'!$A:$A,0))</f>
        <v>2026-10-14</v>
      </c>
      <c r="C75" t="s">
        <v>13</v>
      </c>
      <c r="D75" t="e">
        <f>INDEX('סקרים לפי ערוץ'!#REF!,MATCH($A75,'סקרים לפי ערוץ'!$A:$A,0))</f>
        <v>#REF!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 t="e">
        <f t="shared" si="3"/>
        <v>#REF!</v>
      </c>
      <c r="H75">
        <f>COUNTIFS('מועמדים 2026'!$A:$A,$C75)</f>
        <v>5</v>
      </c>
      <c r="I75" t="e">
        <f t="shared" si="4"/>
        <v>#REF!</v>
      </c>
    </row>
    <row r="76" spans="1:9">
      <c r="A76" t="s">
        <v>28</v>
      </c>
      <c r="B76" t="str">
        <f>INDEX('סקרים לפי ערוץ'!$B:$B,MATCH($A76,'סקרים לפי ערוץ'!$A:$A,0))</f>
        <v>2026-10-14</v>
      </c>
      <c r="C76" t="s">
        <v>14</v>
      </c>
      <c r="D76">
        <f>INDEX('סקרים לפי ערוץ'!H:H,MATCH($A76,'סקרים לפי ערוץ'!$A:$A,0))</f>
        <v>9</v>
      </c>
      <c r="E76">
        <f>COUNTIFS('מועמדים 2026'!$A:$A,$C76,'מועמדים 2026'!$D:$D,"נ",'מועמדים 2026'!$B:$B,"&lt;="&amp;$D76)</f>
        <v>2</v>
      </c>
      <c r="F76">
        <f>COUNTIFS('מועמדים 2026'!$A:$A,$C76,'מועמדים 2026'!$D:$D,"ז",'מועמדים 2026'!$B:$B,"&lt;="&amp;$D76)</f>
        <v>7</v>
      </c>
      <c r="G76">
        <f t="shared" si="3"/>
        <v>0.22222222222222221</v>
      </c>
      <c r="H76">
        <f>COUNTIFS('מועמדים 2026'!$A:$A,$C76)</f>
        <v>10</v>
      </c>
      <c r="I76" t="str">
        <f t="shared" si="4"/>
        <v/>
      </c>
    </row>
    <row r="77" spans="1:9">
      <c r="A77" t="s">
        <v>28</v>
      </c>
      <c r="B77" t="str">
        <f>INDEX('סקרים לפי ערוץ'!$B:$B,MATCH($A77,'סקרים לפי ערוץ'!$A:$A,0))</f>
        <v>2026-10-14</v>
      </c>
      <c r="C77" t="s">
        <v>15</v>
      </c>
      <c r="D77">
        <f>INDEX('סקרים לפי ערוץ'!I:I,MATCH($A77,'סקרים לפי ערוץ'!$A:$A,0))</f>
        <v>9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6</v>
      </c>
      <c r="G77">
        <f t="shared" si="3"/>
        <v>0.33333333333333331</v>
      </c>
      <c r="H77">
        <f>COUNTIFS('מועמדים 2026'!$A:$A,$C77)</f>
        <v>20</v>
      </c>
      <c r="I77" t="str">
        <f t="shared" si="4"/>
        <v/>
      </c>
    </row>
    <row r="78" spans="1:9">
      <c r="A78" t="s">
        <v>28</v>
      </c>
      <c r="B78" t="str">
        <f>INDEX('סקרים לפי ערוץ'!$B:$B,MATCH($A78,'סקרים לפי ערוץ'!$A:$A,0))</f>
        <v>2026-10-14</v>
      </c>
      <c r="C78" t="s">
        <v>16</v>
      </c>
      <c r="D78">
        <f>INDEX('סקרים לפי ערוץ'!J:J,MATCH($A78,'סקרים לפי ערוץ'!$A:$A,0))</f>
        <v>9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5</v>
      </c>
      <c r="G78">
        <f t="shared" si="3"/>
        <v>0.44444444444444442</v>
      </c>
      <c r="H78">
        <f>COUNTIFS('מועמדים 2026'!$A:$A,$C78)</f>
        <v>20</v>
      </c>
      <c r="I78" t="str">
        <f t="shared" si="4"/>
        <v/>
      </c>
    </row>
    <row r="79" spans="1:9">
      <c r="A79" t="s">
        <v>28</v>
      </c>
      <c r="B79" t="str">
        <f>INDEX('סקרים לפי ערוץ'!$B:$B,MATCH($A79,'סקרים לפי ערוץ'!$A:$A,0))</f>
        <v>2026-10-14</v>
      </c>
      <c r="C79" t="s">
        <v>17</v>
      </c>
      <c r="D79">
        <f>INDEX('סקרים לפי ערוץ'!K:K,MATCH($A79,'סקרים לפי ערוץ'!$A:$A,0))</f>
        <v>6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5</v>
      </c>
      <c r="G79">
        <f t="shared" si="3"/>
        <v>0.16666666666666666</v>
      </c>
      <c r="H79">
        <f>COUNTIFS('מועמדים 2026'!$A:$A,$C79)</f>
        <v>18</v>
      </c>
      <c r="I79" t="str">
        <f t="shared" si="4"/>
        <v/>
      </c>
    </row>
    <row r="80" spans="1:9">
      <c r="A80" t="s">
        <v>28</v>
      </c>
      <c r="B80" t="str">
        <f>INDEX('סקרים לפי ערוץ'!$B:$B,MATCH($A80,'סקרים לפי ערוץ'!$A:$A,0))</f>
        <v>2026-10-14</v>
      </c>
      <c r="C80" t="s">
        <v>18</v>
      </c>
      <c r="D80">
        <f>INDEX('סקרים לפי ערוץ'!L:L,MATCH($A80,'סקרים לפי ערוץ'!$A:$A,0))</f>
        <v>6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5</v>
      </c>
      <c r="G80">
        <f t="shared" si="3"/>
        <v>0.16666666666666666</v>
      </c>
      <c r="H80">
        <f>COUNTIFS('מועמדים 2026'!$A:$A,$C80)</f>
        <v>6</v>
      </c>
      <c r="I80" t="str">
        <f t="shared" si="4"/>
        <v/>
      </c>
    </row>
    <row r="81" spans="1:9">
      <c r="A81" t="s">
        <v>28</v>
      </c>
      <c r="B81" t="str">
        <f>INDEX('סקרים לפי ערוץ'!$B:$B,MATCH($A81,'סקרים לפי ערוץ'!$A:$A,0))</f>
        <v>2026-10-14</v>
      </c>
      <c r="C81" t="s">
        <v>19</v>
      </c>
      <c r="D81">
        <f>INDEX('סקרים לפי ערוץ'!M:M,MATCH($A81,'סקרים לפי ערוץ'!$A:$A,0))</f>
        <v>8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6</v>
      </c>
      <c r="G81">
        <f t="shared" si="3"/>
        <v>0.25</v>
      </c>
      <c r="H81">
        <f>COUNTIFS('מועמדים 2026'!$A:$A,$C81)</f>
        <v>17</v>
      </c>
      <c r="I81" t="str">
        <f t="shared" si="4"/>
        <v/>
      </c>
    </row>
    <row r="82" spans="1:9">
      <c r="A82" t="s">
        <v>28</v>
      </c>
      <c r="B82" t="str">
        <f>INDEX('סקרים לפי ערוץ'!$B:$B,MATCH($A82,'סקרים לפי ערוץ'!$A:$A,0))</f>
        <v>2026-10-14</v>
      </c>
      <c r="C82" t="s">
        <v>20</v>
      </c>
      <c r="D82">
        <f>INDEX('סקרים לפי ערוץ'!N:N,MATCH($A82,'סקרים לפי ערוץ'!$A:$A,0))</f>
        <v>12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6</v>
      </c>
      <c r="G82">
        <f t="shared" si="3"/>
        <v>0.5</v>
      </c>
      <c r="H82">
        <f>COUNTIFS('מועמדים 2026'!$A:$A,$C82)</f>
        <v>26</v>
      </c>
      <c r="I82" t="str">
        <f t="shared" si="4"/>
        <v/>
      </c>
    </row>
    <row r="83" spans="1:9">
      <c r="A83" t="s">
        <v>28</v>
      </c>
      <c r="B83" t="str">
        <f>INDEX('סקרים לפי ערוץ'!$B:$B,MATCH($A83,'סקרים לפי ערוץ'!$A:$A,0))</f>
        <v>2026-10-14</v>
      </c>
      <c r="C83" t="s">
        <v>21</v>
      </c>
      <c r="D83">
        <f>INDEX('סקרים לפי ערוץ'!O:O,MATCH($A83,'סקרים לפי ערוץ'!$A:$A,0))</f>
        <v>20</v>
      </c>
      <c r="E83">
        <f>COUNTIFS('מועמדים 2026'!$A:$A,$C83,'מועמדים 2026'!$D:$D,"נ",'מועמדים 2026'!$B:$B,"&lt;="&amp;$D83)</f>
        <v>10</v>
      </c>
      <c r="F83">
        <f>COUNTIFS('מועמדים 2026'!$A:$A,$C83,'מועמדים 2026'!$D:$D,"ז",'מועמדים 2026'!$B:$B,"&lt;="&amp;$D83)</f>
        <v>10</v>
      </c>
      <c r="G83">
        <f t="shared" si="3"/>
        <v>0.5</v>
      </c>
      <c r="H83">
        <f>COUNTIFS('מועמדים 2026'!$A:$A,$C83)</f>
        <v>40</v>
      </c>
      <c r="I83" t="str">
        <f t="shared" si="4"/>
        <v/>
      </c>
    </row>
    <row r="84" spans="1:9">
      <c r="A84" t="s">
        <v>28</v>
      </c>
      <c r="B84" t="str">
        <f>INDEX('סקרים לפי ערוץ'!$B:$B,MATCH($A84,'סקרים לפי ערוץ'!$A:$A,0))</f>
        <v>2026-10-14</v>
      </c>
      <c r="C84" t="s">
        <v>22</v>
      </c>
      <c r="D84">
        <f>INDEX('סקרים לפי ערוץ'!P:P,MATCH($A84,'סקרים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3"/>
        <v>0.25</v>
      </c>
      <c r="H84">
        <f>COUNTIFS('מועמדים 2026'!$A:$A,$C84)</f>
        <v>11</v>
      </c>
      <c r="I84" t="str">
        <f t="shared" si="4"/>
        <v/>
      </c>
    </row>
    <row r="85" spans="1:9">
      <c r="A85" t="s">
        <v>28</v>
      </c>
      <c r="B85" t="str">
        <f>INDEX('סקרים לפי ערוץ'!$B:$B,MATCH($A85,'סקרים לפי ערוץ'!$A:$A,0))</f>
        <v>2026-10-14</v>
      </c>
      <c r="C85" t="s">
        <v>23</v>
      </c>
      <c r="D85">
        <f>INDEX('סקרים לפי ערוץ'!Q:Q,MATCH($A85,'סקרים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3"/>
        <v>0.25</v>
      </c>
      <c r="H85">
        <f>COUNTIFS('מועמדים 2026'!$A:$A,$C85)</f>
        <v>20</v>
      </c>
      <c r="I85" t="str">
        <f t="shared" si="4"/>
        <v/>
      </c>
    </row>
    <row r="86" spans="1:9">
      <c r="A86" t="s">
        <v>29</v>
      </c>
      <c r="B86" t="str">
        <f>INDEX('סקרים לפי ערוץ'!$B:$B,MATCH($A86,'סקרים לפי ערוץ'!$A:$A,0))</f>
        <v>2026-10-13</v>
      </c>
      <c r="C86" t="s">
        <v>10</v>
      </c>
      <c r="D86">
        <f>INDEX('סקרים לפי ערוץ'!E:E,MATCH($A86,'סקרים לפי ערוץ'!$A:$A,0))</f>
        <v>18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16</v>
      </c>
      <c r="G86">
        <f t="shared" si="3"/>
        <v>0.1111111111111111</v>
      </c>
      <c r="H86">
        <f>COUNTIFS('מועמדים 2026'!$A:$A,$C86)</f>
        <v>36</v>
      </c>
      <c r="I86" t="str">
        <f t="shared" si="4"/>
        <v/>
      </c>
    </row>
    <row r="87" spans="1:9">
      <c r="A87" t="s">
        <v>29</v>
      </c>
      <c r="B87" t="str">
        <f>INDEX('סקרים לפי ערוץ'!$B:$B,MATCH($A87,'סקרים לפי ערוץ'!$A:$A,0))</f>
        <v>2026-10-13</v>
      </c>
      <c r="C87" t="s">
        <v>11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3"/>
        <v>0</v>
      </c>
      <c r="H87">
        <f>COUNTIFS('מועמדים 2026'!$A:$A,$C87)</f>
        <v>9</v>
      </c>
      <c r="I87" t="str">
        <f t="shared" si="4"/>
        <v/>
      </c>
    </row>
    <row r="88" spans="1:9">
      <c r="A88" t="s">
        <v>29</v>
      </c>
      <c r="B88" t="str">
        <f>INDEX('סקרים לפי ערוץ'!$B:$B,MATCH($A88,'סקרים לפי ערוץ'!$A:$A,0))</f>
        <v>2026-10-13</v>
      </c>
      <c r="C88" t="s">
        <v>12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3"/>
        <v>0</v>
      </c>
      <c r="H88">
        <f>COUNTIFS('מועמדים 2026'!$A:$A,$C88)</f>
        <v>11</v>
      </c>
      <c r="I88" t="str">
        <f t="shared" si="4"/>
        <v/>
      </c>
    </row>
    <row r="89" spans="1:9">
      <c r="A89" t="s">
        <v>29</v>
      </c>
      <c r="B89" t="str">
        <f>INDEX('סקרים לפי ערוץ'!$B:$B,MATCH($A89,'סקרים לפי ערוץ'!$A:$A,0))</f>
        <v>2026-10-13</v>
      </c>
      <c r="C89" t="s">
        <v>13</v>
      </c>
      <c r="D89" t="e">
        <f>INDEX('סקרים לפי ערוץ'!#REF!,MATCH($A89,'סקרים לפי ערוץ'!$A:$A,0))</f>
        <v>#REF!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 t="e">
        <f t="shared" si="3"/>
        <v>#REF!</v>
      </c>
      <c r="H89">
        <f>COUNTIFS('מועמדים 2026'!$A:$A,$C89)</f>
        <v>5</v>
      </c>
      <c r="I89" t="e">
        <f t="shared" si="4"/>
        <v>#REF!</v>
      </c>
    </row>
    <row r="90" spans="1:9">
      <c r="A90" t="s">
        <v>29</v>
      </c>
      <c r="B90" t="str">
        <f>INDEX('סקרים לפי ערוץ'!$B:$B,MATCH($A90,'סקרים לפי ערוץ'!$A:$A,0))</f>
        <v>2026-10-13</v>
      </c>
      <c r="C90" t="s">
        <v>14</v>
      </c>
      <c r="D90">
        <f>INDEX('סקרים לפי ערוץ'!H:H,MATCH($A90,'סקרים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3"/>
        <v>0.125</v>
      </c>
      <c r="H90">
        <f>COUNTIFS('מועמדים 2026'!$A:$A,$C90)</f>
        <v>10</v>
      </c>
      <c r="I90" t="str">
        <f t="shared" si="4"/>
        <v/>
      </c>
    </row>
    <row r="91" spans="1:9">
      <c r="A91" t="s">
        <v>29</v>
      </c>
      <c r="B91" t="str">
        <f>INDEX('סקרים לפי ערוץ'!$B:$B,MATCH($A91,'סקרים לפי ערוץ'!$A:$A,0))</f>
        <v>2026-10-13</v>
      </c>
      <c r="C91" t="s">
        <v>15</v>
      </c>
      <c r="D91">
        <f>INDEX('סקרים לפי ערוץ'!I:I,MATCH($A91,'סקרים לפי ערוץ'!$A:$A,0))</f>
        <v>7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5</v>
      </c>
      <c r="G91">
        <f t="shared" si="3"/>
        <v>0.2857142857142857</v>
      </c>
      <c r="H91">
        <f>COUNTIFS('מועמדים 2026'!$A:$A,$C91)</f>
        <v>20</v>
      </c>
      <c r="I91" t="str">
        <f t="shared" si="4"/>
        <v/>
      </c>
    </row>
    <row r="92" spans="1:9">
      <c r="A92" t="s">
        <v>29</v>
      </c>
      <c r="B92" t="str">
        <f>INDEX('סקרים לפי ערוץ'!$B:$B,MATCH($A92,'סקרים לפי ערוץ'!$A:$A,0))</f>
        <v>2026-10-13</v>
      </c>
      <c r="C92" t="s">
        <v>16</v>
      </c>
      <c r="D92">
        <f>INDEX('סקרים לפי ערוץ'!J:J,MATCH($A92,'סקרים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3"/>
        <v>0.44444444444444442</v>
      </c>
      <c r="H92">
        <f>COUNTIFS('מועמדים 2026'!$A:$A,$C92)</f>
        <v>20</v>
      </c>
      <c r="I92" t="str">
        <f t="shared" si="4"/>
        <v/>
      </c>
    </row>
    <row r="93" spans="1:9">
      <c r="A93" t="s">
        <v>29</v>
      </c>
      <c r="B93" t="str">
        <f>INDEX('סקרים לפי ערוץ'!$B:$B,MATCH($A93,'סקרים לפי ערוץ'!$A:$A,0))</f>
        <v>2026-10-13</v>
      </c>
      <c r="C93" t="s">
        <v>17</v>
      </c>
      <c r="D93">
        <f>INDEX('סקרים לפי ערוץ'!K:K,MATCH($A93,'סקרים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3"/>
        <v>0.16666666666666666</v>
      </c>
      <c r="H93">
        <f>COUNTIFS('מועמדים 2026'!$A:$A,$C93)</f>
        <v>18</v>
      </c>
      <c r="I93" t="str">
        <f t="shared" si="4"/>
        <v/>
      </c>
    </row>
    <row r="94" spans="1:9">
      <c r="A94" t="s">
        <v>29</v>
      </c>
      <c r="B94" t="str">
        <f>INDEX('סקרים לפי ערוץ'!$B:$B,MATCH($A94,'סקרים לפי ערוץ'!$A:$A,0))</f>
        <v>2026-10-13</v>
      </c>
      <c r="C94" t="s">
        <v>18</v>
      </c>
      <c r="D94">
        <f>INDEX('סקרים לפי ערוץ'!L:L,MATCH($A94,'סקרים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3"/>
        <v>0.2</v>
      </c>
      <c r="H94">
        <f>COUNTIFS('מועמדים 2026'!$A:$A,$C94)</f>
        <v>6</v>
      </c>
      <c r="I94" t="str">
        <f t="shared" si="4"/>
        <v/>
      </c>
    </row>
    <row r="95" spans="1:9">
      <c r="A95" t="s">
        <v>29</v>
      </c>
      <c r="B95" t="str">
        <f>INDEX('סקרים לפי ערוץ'!$B:$B,MATCH($A95,'סקרים לפי ערוץ'!$A:$A,0))</f>
        <v>2026-10-13</v>
      </c>
      <c r="C95" t="s">
        <v>19</v>
      </c>
      <c r="D95">
        <f>INDEX('סקרים לפי ערוץ'!M:M,MATCH($A95,'סקרים לפי ערוץ'!$A:$A,0))</f>
        <v>9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7</v>
      </c>
      <c r="G95">
        <f t="shared" si="3"/>
        <v>0.22222222222222221</v>
      </c>
      <c r="H95">
        <f>COUNTIFS('מועמדים 2026'!$A:$A,$C95)</f>
        <v>17</v>
      </c>
      <c r="I95" t="str">
        <f t="shared" si="4"/>
        <v/>
      </c>
    </row>
    <row r="96" spans="1:9">
      <c r="A96" t="s">
        <v>29</v>
      </c>
      <c r="B96" t="str">
        <f>INDEX('סקרים לפי ערוץ'!$B:$B,MATCH($A96,'סקרים לפי ערוץ'!$A:$A,0))</f>
        <v>2026-10-13</v>
      </c>
      <c r="C96" t="s">
        <v>20</v>
      </c>
      <c r="D96">
        <f>INDEX('סקרים לפי ערוץ'!N:N,MATCH($A96,'סקרים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3"/>
        <v>0.46153846153846156</v>
      </c>
      <c r="H96">
        <f>COUNTIFS('מועמדים 2026'!$A:$A,$C96)</f>
        <v>26</v>
      </c>
      <c r="I96" t="str">
        <f t="shared" si="4"/>
        <v/>
      </c>
    </row>
    <row r="97" spans="1:9">
      <c r="A97" t="s">
        <v>29</v>
      </c>
      <c r="B97" t="str">
        <f>INDEX('סקרים לפי ערוץ'!$B:$B,MATCH($A97,'סקרים לפי ערוץ'!$A:$A,0))</f>
        <v>2026-10-13</v>
      </c>
      <c r="C97" t="s">
        <v>21</v>
      </c>
      <c r="D97">
        <f>INDEX('סקרים לפי ערוץ'!O:O,MATCH($A97,'סקרים לפי ערוץ'!$A:$A,0))</f>
        <v>21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10</v>
      </c>
      <c r="G97">
        <f t="shared" si="3"/>
        <v>0.52380952380952384</v>
      </c>
      <c r="H97">
        <f>COUNTIFS('מועמדים 2026'!$A:$A,$C97)</f>
        <v>40</v>
      </c>
      <c r="I97" t="str">
        <f t="shared" si="4"/>
        <v/>
      </c>
    </row>
    <row r="98" spans="1:9">
      <c r="A98" t="s">
        <v>29</v>
      </c>
      <c r="B98" t="str">
        <f>INDEX('סקרים לפי ערוץ'!$B:$B,MATCH($A98,'סקרים לפי ערוץ'!$A:$A,0))</f>
        <v>2026-10-13</v>
      </c>
      <c r="C98" t="s">
        <v>22</v>
      </c>
      <c r="D98">
        <f>INDEX('סקרים לפי ערוץ'!P:P,MATCH($A98,'סקרים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5">IF($D98=0,0,$E98/$D98)</f>
        <v>0.25</v>
      </c>
      <c r="H98">
        <f>COUNTIFS('מועמדים 2026'!$A:$A,$C98)</f>
        <v>11</v>
      </c>
      <c r="I98" t="str">
        <f t="shared" si="4"/>
        <v/>
      </c>
    </row>
    <row r="99" spans="1:9">
      <c r="A99" t="s">
        <v>29</v>
      </c>
      <c r="B99" t="str">
        <f>INDEX('סקרים לפי ערוץ'!$B:$B,MATCH($A99,'סקרים לפי ערוץ'!$A:$A,0))</f>
        <v>2026-10-13</v>
      </c>
      <c r="C99" t="s">
        <v>23</v>
      </c>
      <c r="D99">
        <f>INDEX('סקרים לפי ערוץ'!Q:Q,MATCH($A99,'סקרים לפי ערוץ'!$A:$A,0))</f>
        <v>5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4</v>
      </c>
      <c r="G99">
        <f t="shared" si="5"/>
        <v>0.2</v>
      </c>
      <c r="H99">
        <f>COUNTIFS('מועמדים 2026'!$A:$A,$C99)</f>
        <v>20</v>
      </c>
      <c r="I99" t="str">
        <f t="shared" si="4"/>
        <v/>
      </c>
    </row>
    <row r="100" spans="1:9">
      <c r="A100" t="s">
        <v>30</v>
      </c>
      <c r="B100" t="str">
        <f>INDEX('סקרים לפי ערוץ'!$B:$B,MATCH($A100,'סקרים לפי ערוץ'!$A:$A,0))</f>
        <v>2026-10-12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5"/>
        <v>0.15</v>
      </c>
      <c r="H100">
        <f>COUNTIFS('מועמדים 2026'!$A:$A,$C100)</f>
        <v>36</v>
      </c>
      <c r="I100" t="str">
        <f t="shared" si="4"/>
        <v/>
      </c>
    </row>
    <row r="101" spans="1:9">
      <c r="A101" t="s">
        <v>30</v>
      </c>
      <c r="B101" t="str">
        <f>INDEX('סקרים לפי ערוץ'!$B:$B,MATCH($A101,'סקרים לפי ערוץ'!$A:$A,0))</f>
        <v>2026-10-12</v>
      </c>
      <c r="C101" t="s">
        <v>11</v>
      </c>
      <c r="D101">
        <f>INDEX('סקרים לפי ערוץ'!F:F,MATCH($A101,'סקרים לפי ערוץ'!$A:$A,0))</f>
        <v>7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7</v>
      </c>
      <c r="G101">
        <f t="shared" si="5"/>
        <v>0</v>
      </c>
      <c r="H101">
        <f>COUNTIFS('מועמדים 2026'!$A:$A,$C101)</f>
        <v>9</v>
      </c>
      <c r="I101" t="str">
        <f t="shared" si="4"/>
        <v/>
      </c>
    </row>
    <row r="102" spans="1:9">
      <c r="A102" t="s">
        <v>30</v>
      </c>
      <c r="B102" t="str">
        <f>INDEX('סקרים לפי ערוץ'!$B:$B,MATCH($A102,'סקרים לפי ערוץ'!$A:$A,0))</f>
        <v>2026-10-12</v>
      </c>
      <c r="C102" t="s">
        <v>12</v>
      </c>
      <c r="D102">
        <f>INDEX('סקרים לפי ערוץ'!G:G,MATCH($A102,'סקרים לפי ערוץ'!$A:$A,0))</f>
        <v>8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8</v>
      </c>
      <c r="G102">
        <f t="shared" si="5"/>
        <v>0</v>
      </c>
      <c r="H102">
        <f>COUNTIFS('מועמדים 2026'!$A:$A,$C102)</f>
        <v>11</v>
      </c>
      <c r="I102" t="str">
        <f t="shared" si="4"/>
        <v/>
      </c>
    </row>
    <row r="103" spans="1:9">
      <c r="A103" t="s">
        <v>30</v>
      </c>
      <c r="B103" t="str">
        <f>INDEX('סקרים לפי ערוץ'!$B:$B,MATCH($A103,'סקרים לפי ערוץ'!$A:$A,0))</f>
        <v>2026-10-12</v>
      </c>
      <c r="C103" t="s">
        <v>13</v>
      </c>
      <c r="D103" t="e">
        <f>INDEX('סקרים לפי ערוץ'!#REF!,MATCH($A103,'סקרים לפי ערוץ'!$A:$A,0))</f>
        <v>#REF!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 t="e">
        <f t="shared" si="5"/>
        <v>#REF!</v>
      </c>
      <c r="H103">
        <f>COUNTIFS('מועמדים 2026'!$A:$A,$C103)</f>
        <v>5</v>
      </c>
      <c r="I103" t="e">
        <f t="shared" si="4"/>
        <v>#REF!</v>
      </c>
    </row>
    <row r="104" spans="1:9">
      <c r="A104" t="s">
        <v>30</v>
      </c>
      <c r="B104" t="str">
        <f>INDEX('סקרים לפי ערוץ'!$B:$B,MATCH($A104,'סקרים לפי ערוץ'!$A:$A,0))</f>
        <v>2026-10-12</v>
      </c>
      <c r="C104" t="s">
        <v>14</v>
      </c>
      <c r="D104">
        <f>INDEX('סקרים לפי ערוץ'!H:H,MATCH($A104,'סקרים לפי ערוץ'!$A:$A,0))</f>
        <v>8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7</v>
      </c>
      <c r="G104">
        <f t="shared" si="5"/>
        <v>0.125</v>
      </c>
      <c r="H104">
        <f>COUNTIFS('מועמדים 2026'!$A:$A,$C104)</f>
        <v>10</v>
      </c>
      <c r="I104" t="str">
        <f t="shared" si="4"/>
        <v/>
      </c>
    </row>
    <row r="105" spans="1:9">
      <c r="A105" t="s">
        <v>30</v>
      </c>
      <c r="B105" t="str">
        <f>INDEX('סקרים לפי ערוץ'!$B:$B,MATCH($A105,'סקרים לפי ערוץ'!$A:$A,0))</f>
        <v>2026-10-12</v>
      </c>
      <c r="C105" t="s">
        <v>15</v>
      </c>
      <c r="D105">
        <f>INDEX('סקרים לפי ערוץ'!I:I,MATCH($A105,'סקרים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5"/>
        <v>0.33333333333333331</v>
      </c>
      <c r="H105">
        <f>COUNTIFS('מועמדים 2026'!$A:$A,$C105)</f>
        <v>20</v>
      </c>
      <c r="I105" t="str">
        <f t="shared" si="4"/>
        <v/>
      </c>
    </row>
    <row r="106" spans="1:9">
      <c r="A106" t="s">
        <v>30</v>
      </c>
      <c r="B106" t="str">
        <f>INDEX('סקרים לפי ערוץ'!$B:$B,MATCH($A106,'סקרים לפי ערוץ'!$A:$A,0))</f>
        <v>2026-10-12</v>
      </c>
      <c r="C106" t="s">
        <v>16</v>
      </c>
      <c r="D106">
        <f>INDEX('סקרים לפי ערוץ'!J:J,MATCH($A106,'סקרים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5"/>
        <v>0.44444444444444442</v>
      </c>
      <c r="H106">
        <f>COUNTIFS('מועמדים 2026'!$A:$A,$C106)</f>
        <v>20</v>
      </c>
      <c r="I106" t="str">
        <f t="shared" si="4"/>
        <v/>
      </c>
    </row>
    <row r="107" spans="1:9">
      <c r="A107" t="s">
        <v>30</v>
      </c>
      <c r="B107" t="str">
        <f>INDEX('סקרים לפי ערוץ'!$B:$B,MATCH($A107,'סקרים לפי ערוץ'!$A:$A,0))</f>
        <v>2026-10-12</v>
      </c>
      <c r="C107" t="s">
        <v>17</v>
      </c>
      <c r="D107">
        <f>INDEX('סקרים לפי ערוץ'!K:K,MATCH($A107,'סקרים לפי ערוץ'!$A:$A,0))</f>
        <v>6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5</v>
      </c>
      <c r="G107">
        <f t="shared" si="5"/>
        <v>0.16666666666666666</v>
      </c>
      <c r="H107">
        <f>COUNTIFS('מועמדים 2026'!$A:$A,$C107)</f>
        <v>18</v>
      </c>
      <c r="I107" t="str">
        <f t="shared" si="4"/>
        <v/>
      </c>
    </row>
    <row r="108" spans="1:9">
      <c r="A108" t="s">
        <v>30</v>
      </c>
      <c r="B108" t="str">
        <f>INDEX('סקרים לפי ערוץ'!$B:$B,MATCH($A108,'סקרים לפי ערוץ'!$A:$A,0))</f>
        <v>2026-10-12</v>
      </c>
      <c r="C108" t="s">
        <v>18</v>
      </c>
      <c r="D108">
        <f>INDEX('סקרים לפי ערוץ'!L:L,MATCH($A108,'סקרים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5"/>
        <v>0.2</v>
      </c>
      <c r="H108">
        <f>COUNTIFS('מועמדים 2026'!$A:$A,$C108)</f>
        <v>6</v>
      </c>
      <c r="I108" t="str">
        <f t="shared" si="4"/>
        <v/>
      </c>
    </row>
    <row r="109" spans="1:9">
      <c r="A109" t="s">
        <v>30</v>
      </c>
      <c r="B109" t="str">
        <f>INDEX('סקרים לפי ערוץ'!$B:$B,MATCH($A109,'סקרים לפי ערוץ'!$A:$A,0))</f>
        <v>2026-10-12</v>
      </c>
      <c r="C109" t="s">
        <v>19</v>
      </c>
      <c r="D109">
        <f>INDEX('סקרים לפי ערוץ'!M:M,MATCH($A109,'סקרים לפי ערוץ'!$A:$A,0))</f>
        <v>8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6</v>
      </c>
      <c r="G109">
        <f t="shared" si="5"/>
        <v>0.25</v>
      </c>
      <c r="H109">
        <f>COUNTIFS('מועמדים 2026'!$A:$A,$C109)</f>
        <v>17</v>
      </c>
      <c r="I109" t="str">
        <f t="shared" si="4"/>
        <v/>
      </c>
    </row>
    <row r="110" spans="1:9">
      <c r="A110" t="s">
        <v>30</v>
      </c>
      <c r="B110" t="str">
        <f>INDEX('סקרים לפי ערוץ'!$B:$B,MATCH($A110,'סקרים לפי ערוץ'!$A:$A,0))</f>
        <v>2026-10-12</v>
      </c>
      <c r="C110" t="s">
        <v>20</v>
      </c>
      <c r="D110">
        <f>INDEX('סקרים לפי ערוץ'!N:N,MATCH($A110,'סקרים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5"/>
        <v>0.46153846153846156</v>
      </c>
      <c r="H110">
        <f>COUNTIFS('מועמדים 2026'!$A:$A,$C110)</f>
        <v>26</v>
      </c>
      <c r="I110" t="str">
        <f t="shared" si="4"/>
        <v/>
      </c>
    </row>
    <row r="111" spans="1:9">
      <c r="A111" t="s">
        <v>30</v>
      </c>
      <c r="B111" t="str">
        <f>INDEX('סקרים לפי ערוץ'!$B:$B,MATCH($A111,'סקרים לפי ערוץ'!$A:$A,0))</f>
        <v>2026-10-12</v>
      </c>
      <c r="C111" t="s">
        <v>21</v>
      </c>
      <c r="D111">
        <f>INDEX('סקרים לפי ערוץ'!O:O,MATCH($A111,'סקרים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5"/>
        <v>0.47826086956521741</v>
      </c>
      <c r="H111">
        <f>COUNTIFS('מועמדים 2026'!$A:$A,$C111)</f>
        <v>40</v>
      </c>
      <c r="I111" t="str">
        <f t="shared" si="4"/>
        <v/>
      </c>
    </row>
    <row r="112" spans="1:9">
      <c r="A112" t="s">
        <v>30</v>
      </c>
      <c r="B112" t="str">
        <f>INDEX('סקרים לפי ערוץ'!$B:$B,MATCH($A112,'סקרים לפי ערוץ'!$A:$A,0))</f>
        <v>2026-10-12</v>
      </c>
      <c r="C112" t="s">
        <v>22</v>
      </c>
      <c r="D112">
        <f>INDEX('סקרים לפי ערוץ'!P:P,MATCH($A112,'סקרים לפי ערוץ'!$A:$A,0))</f>
        <v>0</v>
      </c>
      <c r="E112">
        <f>COUNTIFS('מועמדים 2026'!$A:$A,$C112,'מועמדים 2026'!$D:$D,"נ",'מועמדים 2026'!$B:$B,"&lt;="&amp;$D112)</f>
        <v>0</v>
      </c>
      <c r="F112">
        <f>COUNTIFS('מועמדים 2026'!$A:$A,$C112,'מועמדים 2026'!$D:$D,"ז",'מועמדים 2026'!$B:$B,"&lt;="&amp;$D112)</f>
        <v>0</v>
      </c>
      <c r="G112">
        <f t="shared" si="5"/>
        <v>0</v>
      </c>
      <c r="H112">
        <f>COUNTIFS('מועמדים 2026'!$A:$A,$C112)</f>
        <v>11</v>
      </c>
      <c r="I112" t="str">
        <f t="shared" si="4"/>
        <v/>
      </c>
    </row>
    <row r="113" spans="1:9">
      <c r="A113" t="s">
        <v>30</v>
      </c>
      <c r="B113" t="str">
        <f>INDEX('סקרים לפי ערוץ'!$B:$B,MATCH($A113,'סקרים לפי ערוץ'!$A:$A,0))</f>
        <v>2026-10-12</v>
      </c>
      <c r="C113" t="s">
        <v>23</v>
      </c>
      <c r="D113">
        <f>INDEX('סקרים לפי ערוץ'!Q:Q,MATCH($A113,'סקרים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5"/>
        <v>0.25</v>
      </c>
      <c r="H113">
        <f>COUNTIFS('מועמדים 2026'!$A:$A,$C113)</f>
        <v>20</v>
      </c>
      <c r="I113" t="str">
        <f t="shared" si="4"/>
        <v/>
      </c>
    </row>
    <row r="114" spans="1:9">
      <c r="A114" t="s">
        <v>31</v>
      </c>
      <c r="B114" t="str">
        <f>INDEX('סקרים לפי ערוץ'!$B:$B,MATCH($A114,'סקרים לפי ערוץ'!$A:$A,0))</f>
        <v>2026-10-12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5"/>
        <v>0.15</v>
      </c>
      <c r="H114">
        <f>COUNTIFS('מועמדים 2026'!$A:$A,$C114)</f>
        <v>36</v>
      </c>
      <c r="I114" t="str">
        <f t="shared" si="4"/>
        <v/>
      </c>
    </row>
    <row r="115" spans="1:9">
      <c r="A115" t="s">
        <v>31</v>
      </c>
      <c r="B115" t="str">
        <f>INDEX('סקרים לפי ערוץ'!$B:$B,MATCH($A115,'סקרים לפי ערוץ'!$A:$A,0))</f>
        <v>2026-10-12</v>
      </c>
      <c r="C115" t="s">
        <v>11</v>
      </c>
      <c r="D115">
        <f>INDEX('סקרים לפי ערוץ'!F:F,MATCH($A115,'סקרים לפי ערוץ'!$A:$A,0))</f>
        <v>8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8</v>
      </c>
      <c r="G115">
        <f t="shared" si="5"/>
        <v>0</v>
      </c>
      <c r="H115">
        <f>COUNTIFS('מועמדים 2026'!$A:$A,$C115)</f>
        <v>9</v>
      </c>
      <c r="I115" t="str">
        <f t="shared" si="4"/>
        <v/>
      </c>
    </row>
    <row r="116" spans="1:9">
      <c r="A116" t="s">
        <v>31</v>
      </c>
      <c r="B116" t="str">
        <f>INDEX('סקרים לפי ערוץ'!$B:$B,MATCH($A116,'סקרים לפי ערוץ'!$A:$A,0))</f>
        <v>2026-10-12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5"/>
        <v>0</v>
      </c>
      <c r="H116">
        <f>COUNTIFS('מועמדים 2026'!$A:$A,$C116)</f>
        <v>11</v>
      </c>
      <c r="I116" t="str">
        <f t="shared" si="4"/>
        <v/>
      </c>
    </row>
    <row r="117" spans="1:9">
      <c r="A117" t="s">
        <v>31</v>
      </c>
      <c r="B117" t="str">
        <f>INDEX('סקרים לפי ערוץ'!$B:$B,MATCH($A117,'סקרים לפי ערוץ'!$A:$A,0))</f>
        <v>2026-10-12</v>
      </c>
      <c r="C117" t="s">
        <v>13</v>
      </c>
      <c r="D117" t="e">
        <f>INDEX('סקרים לפי ערוץ'!#REF!,MATCH($A117,'סקרים לפי ערוץ'!$A:$A,0))</f>
        <v>#REF!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 t="e">
        <f t="shared" si="5"/>
        <v>#REF!</v>
      </c>
      <c r="H117">
        <f>COUNTIFS('מועמדים 2026'!$A:$A,$C117)</f>
        <v>5</v>
      </c>
      <c r="I117" t="e">
        <f t="shared" si="4"/>
        <v>#REF!</v>
      </c>
    </row>
    <row r="118" spans="1:9">
      <c r="A118" t="s">
        <v>31</v>
      </c>
      <c r="B118" t="str">
        <f>INDEX('סקרים לפי ערוץ'!$B:$B,MATCH($A118,'סקרים לפי ערוץ'!$A:$A,0))</f>
        <v>2026-10-12</v>
      </c>
      <c r="C118" t="s">
        <v>14</v>
      </c>
      <c r="D118">
        <f>INDEX('סקרים לפי ערוץ'!H:H,MATCH($A118,'סקרים לפי ערוץ'!$A:$A,0))</f>
        <v>8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7</v>
      </c>
      <c r="G118">
        <f t="shared" si="5"/>
        <v>0.125</v>
      </c>
      <c r="H118">
        <f>COUNTIFS('מועמדים 2026'!$A:$A,$C118)</f>
        <v>10</v>
      </c>
      <c r="I118" t="str">
        <f t="shared" si="4"/>
        <v/>
      </c>
    </row>
    <row r="119" spans="1:9">
      <c r="A119" t="s">
        <v>31</v>
      </c>
      <c r="B119" t="str">
        <f>INDEX('סקרים לפי ערוץ'!$B:$B,MATCH($A119,'סקרים לפי ערוץ'!$A:$A,0))</f>
        <v>2026-10-12</v>
      </c>
      <c r="C119" t="s">
        <v>15</v>
      </c>
      <c r="D119">
        <f>INDEX('סקרים לפי ערוץ'!I:I,MATCH($A119,'סקרים לפי ערוץ'!$A:$A,0))</f>
        <v>9</v>
      </c>
      <c r="E119">
        <f>COUNTIFS('מועמדים 2026'!$A:$A,$C119,'מועמדים 2026'!$D:$D,"נ",'מועמדים 2026'!$B:$B,"&lt;="&amp;$D119)</f>
        <v>3</v>
      </c>
      <c r="F119">
        <f>COUNTIFS('מועמדים 2026'!$A:$A,$C119,'מועמדים 2026'!$D:$D,"ז",'מועמדים 2026'!$B:$B,"&lt;="&amp;$D119)</f>
        <v>6</v>
      </c>
      <c r="G119">
        <f t="shared" si="5"/>
        <v>0.33333333333333331</v>
      </c>
      <c r="H119">
        <f>COUNTIFS('מועמדים 2026'!$A:$A,$C119)</f>
        <v>20</v>
      </c>
      <c r="I119" t="str">
        <f t="shared" si="4"/>
        <v/>
      </c>
    </row>
    <row r="120" spans="1:9">
      <c r="A120" t="s">
        <v>31</v>
      </c>
      <c r="B120" t="str">
        <f>INDEX('סקרים לפי ערוץ'!$B:$B,MATCH($A120,'סקרים לפי ערוץ'!$A:$A,0))</f>
        <v>2026-10-12</v>
      </c>
      <c r="C120" t="s">
        <v>16</v>
      </c>
      <c r="D120">
        <f>INDEX('סקרים לפי ערוץ'!J:J,MATCH($A120,'סקרים לפי ערוץ'!$A:$A,0))</f>
        <v>10</v>
      </c>
      <c r="E120">
        <f>COUNTIFS('מועמדים 2026'!$A:$A,$C120,'מועמדים 2026'!$D:$D,"נ",'מועמדים 2026'!$B:$B,"&lt;="&amp;$D120)</f>
        <v>5</v>
      </c>
      <c r="F120">
        <f>COUNTIFS('מועמדים 2026'!$A:$A,$C120,'מועמדים 2026'!$D:$D,"ז",'מועמדים 2026'!$B:$B,"&lt;="&amp;$D120)</f>
        <v>5</v>
      </c>
      <c r="G120">
        <f t="shared" si="5"/>
        <v>0.5</v>
      </c>
      <c r="H120">
        <f>COUNTIFS('מועמדים 2026'!$A:$A,$C120)</f>
        <v>20</v>
      </c>
      <c r="I120" t="str">
        <f t="shared" si="4"/>
        <v/>
      </c>
    </row>
    <row r="121" spans="1:9">
      <c r="A121" t="s">
        <v>31</v>
      </c>
      <c r="B121" t="str">
        <f>INDEX('סקרים לפי ערוץ'!$B:$B,MATCH($A121,'סקרים לפי ערוץ'!$A:$A,0))</f>
        <v>2026-10-12</v>
      </c>
      <c r="C121" t="s">
        <v>17</v>
      </c>
      <c r="D121">
        <f>INDEX('סקרים לפי ערוץ'!K:K,MATCH($A121,'סקרים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5"/>
        <v>0.16666666666666666</v>
      </c>
      <c r="H121">
        <f>COUNTIFS('מועמדים 2026'!$A:$A,$C121)</f>
        <v>18</v>
      </c>
      <c r="I121" t="str">
        <f t="shared" si="4"/>
        <v/>
      </c>
    </row>
    <row r="122" spans="1:9">
      <c r="A122" t="s">
        <v>31</v>
      </c>
      <c r="B122" t="str">
        <f>INDEX('סקרים לפי ערוץ'!$B:$B,MATCH($A122,'סקרים לפי ערוץ'!$A:$A,0))</f>
        <v>2026-10-12</v>
      </c>
      <c r="C122" t="s">
        <v>18</v>
      </c>
      <c r="D122">
        <f>INDEX('סקרים לפי ערוץ'!L:L,MATCH($A122,'סקרים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5"/>
        <v>0.2</v>
      </c>
      <c r="H122">
        <f>COUNTIFS('מועמדים 2026'!$A:$A,$C122)</f>
        <v>6</v>
      </c>
      <c r="I122" t="str">
        <f t="shared" si="4"/>
        <v/>
      </c>
    </row>
    <row r="123" spans="1:9">
      <c r="A123" t="s">
        <v>31</v>
      </c>
      <c r="B123" t="str">
        <f>INDEX('סקרים לפי ערוץ'!$B:$B,MATCH($A123,'סקרים לפי ערוץ'!$A:$A,0))</f>
        <v>2026-10-12</v>
      </c>
      <c r="C123" t="s">
        <v>19</v>
      </c>
      <c r="D123">
        <f>INDEX('סקרים לפי ערוץ'!M:M,MATCH($A123,'סקרים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5"/>
        <v>0.25</v>
      </c>
      <c r="H123">
        <f>COUNTIFS('מועמדים 2026'!$A:$A,$C123)</f>
        <v>17</v>
      </c>
      <c r="I123" t="str">
        <f t="shared" si="4"/>
        <v/>
      </c>
    </row>
    <row r="124" spans="1:9">
      <c r="A124" t="s">
        <v>31</v>
      </c>
      <c r="B124" t="str">
        <f>INDEX('סקרים לפי ערוץ'!$B:$B,MATCH($A124,'סקרים לפי ערוץ'!$A:$A,0))</f>
        <v>2026-10-12</v>
      </c>
      <c r="C124" t="s">
        <v>20</v>
      </c>
      <c r="D124">
        <f>INDEX('סקרים לפי ערוץ'!N:N,MATCH($A124,'סקרים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5"/>
        <v>0.46153846153846156</v>
      </c>
      <c r="H124">
        <f>COUNTIFS('מועמדים 2026'!$A:$A,$C124)</f>
        <v>26</v>
      </c>
      <c r="I124" t="str">
        <f t="shared" si="4"/>
        <v/>
      </c>
    </row>
    <row r="125" spans="1:9">
      <c r="A125" t="s">
        <v>31</v>
      </c>
      <c r="B125" t="str">
        <f>INDEX('סקרים לפי ערוץ'!$B:$B,MATCH($A125,'סקרים לפי ערוץ'!$A:$A,0))</f>
        <v>2026-10-12</v>
      </c>
      <c r="C125" t="s">
        <v>21</v>
      </c>
      <c r="D125">
        <f>INDEX('סקרים לפי ערוץ'!O:O,MATCH($A125,'סקרים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5"/>
        <v>0.5</v>
      </c>
      <c r="H125">
        <f>COUNTIFS('מועמדים 2026'!$A:$A,$C125)</f>
        <v>40</v>
      </c>
      <c r="I125" t="str">
        <f t="shared" si="4"/>
        <v/>
      </c>
    </row>
    <row r="126" spans="1:9">
      <c r="A126" t="s">
        <v>31</v>
      </c>
      <c r="B126" t="str">
        <f>INDEX('סקרים לפי ערוץ'!$B:$B,MATCH($A126,'סקרים לפי ערוץ'!$A:$A,0))</f>
        <v>2026-10-12</v>
      </c>
      <c r="C126" t="s">
        <v>22</v>
      </c>
      <c r="D126">
        <f>INDEX('סקרים לפי ערוץ'!P:P,MATCH($A126,'סקרים לפי ערוץ'!$A:$A,0))</f>
        <v>0</v>
      </c>
      <c r="E126">
        <f>COUNTIFS('מועמדים 2026'!$A:$A,$C126,'מועמדים 2026'!$D:$D,"נ",'מועמדים 2026'!$B:$B,"&lt;="&amp;$D126)</f>
        <v>0</v>
      </c>
      <c r="F126">
        <f>COUNTIFS('מועמדים 2026'!$A:$A,$C126,'מועמדים 2026'!$D:$D,"ז",'מועמדים 2026'!$B:$B,"&lt;="&amp;$D126)</f>
        <v>0</v>
      </c>
      <c r="G126">
        <f t="shared" si="5"/>
        <v>0</v>
      </c>
      <c r="H126">
        <f>COUNTIFS('מועמדים 2026'!$A:$A,$C126)</f>
        <v>11</v>
      </c>
      <c r="I126" t="str">
        <f t="shared" si="4"/>
        <v/>
      </c>
    </row>
    <row r="127" spans="1:9">
      <c r="A127" t="s">
        <v>31</v>
      </c>
      <c r="B127" t="str">
        <f>INDEX('סקרים לפי ערוץ'!$B:$B,MATCH($A127,'סקרים לפי ערוץ'!$A:$A,0))</f>
        <v>2026-10-12</v>
      </c>
      <c r="C127" t="s">
        <v>23</v>
      </c>
      <c r="D127">
        <f>INDEX('סקרים לפי ערוץ'!Q:Q,MATCH($A127,'סקרים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5"/>
        <v>0.25</v>
      </c>
      <c r="H127">
        <f>COUNTIFS('מועמדים 2026'!$A:$A,$C127)</f>
        <v>20</v>
      </c>
      <c r="I127" t="str">
        <f t="shared" si="4"/>
        <v/>
      </c>
    </row>
    <row r="128" spans="1:9">
      <c r="A128" t="s">
        <v>32</v>
      </c>
      <c r="B128" t="str">
        <f>INDEX('סקרים לפי ערוץ'!$B:$B,MATCH($A128,'סקרים לפי ערוץ'!$A:$A,0))</f>
        <v>2026-10-08</v>
      </c>
      <c r="C128" t="s">
        <v>10</v>
      </c>
      <c r="D128">
        <f>INDEX('סקרים לפי ערוץ'!E:E,MATCH($A128,'סקרים לפי ערוץ'!$A:$A,0))</f>
        <v>26</v>
      </c>
      <c r="E128">
        <f>COUNTIFS('מועמדים 2026'!$A:$A,$C128,'מועמדים 2026'!$D:$D,"נ",'מועמדים 2026'!$B:$B,"&lt;="&amp;$D128)</f>
        <v>4</v>
      </c>
      <c r="F128">
        <f>COUNTIFS('מועמדים 2026'!$A:$A,$C128,'מועמדים 2026'!$D:$D,"ז",'מועמדים 2026'!$B:$B,"&lt;="&amp;$D128)</f>
        <v>22</v>
      </c>
      <c r="G128">
        <f t="shared" si="5"/>
        <v>0.15384615384615385</v>
      </c>
      <c r="H128">
        <f>COUNTIFS('מועמדים 2026'!$A:$A,$C128)</f>
        <v>36</v>
      </c>
      <c r="I128" t="str">
        <f t="shared" si="4"/>
        <v/>
      </c>
    </row>
    <row r="129" spans="1:9">
      <c r="A129" t="s">
        <v>32</v>
      </c>
      <c r="B129" t="str">
        <f>INDEX('סקרים לפי ערוץ'!$B:$B,MATCH($A129,'סקרים לפי ערוץ'!$A:$A,0))</f>
        <v>2026-10-08</v>
      </c>
      <c r="C129" t="s">
        <v>11</v>
      </c>
      <c r="D129">
        <f>INDEX('סקרים לפי ערוץ'!F:F,MATCH($A129,'סקרים לפי ערוץ'!$A:$A,0))</f>
        <v>8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8</v>
      </c>
      <c r="G129">
        <f t="shared" si="5"/>
        <v>0</v>
      </c>
      <c r="H129">
        <f>COUNTIFS('מועמדים 2026'!$A:$A,$C129)</f>
        <v>9</v>
      </c>
      <c r="I129" t="str">
        <f t="shared" si="4"/>
        <v/>
      </c>
    </row>
    <row r="130" spans="1:9">
      <c r="A130" t="s">
        <v>32</v>
      </c>
      <c r="B130" t="str">
        <f>INDEX('סקרים לפי ערוץ'!$B:$B,MATCH($A130,'סקרים לפי ערוץ'!$A:$A,0))</f>
        <v>2026-10-08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6">IF($D130=0,0,$E130/$D130)</f>
        <v>0</v>
      </c>
      <c r="H130">
        <f>COUNTIFS('מועמדים 2026'!$A:$A,$C130)</f>
        <v>11</v>
      </c>
      <c r="I130" t="str">
        <f t="shared" si="4"/>
        <v/>
      </c>
    </row>
    <row r="131" spans="1:9">
      <c r="A131" t="s">
        <v>32</v>
      </c>
      <c r="B131" t="str">
        <f>INDEX('סקרים לפי ערוץ'!$B:$B,MATCH($A131,'סקרים לפי ערוץ'!$A:$A,0))</f>
        <v>2026-10-08</v>
      </c>
      <c r="C131" t="s">
        <v>13</v>
      </c>
      <c r="D131" t="e">
        <f>INDEX('סקרים לפי ערוץ'!#REF!,MATCH($A131,'סקרים לפי ערוץ'!$A:$A,0))</f>
        <v>#REF!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 t="e">
        <f t="shared" si="6"/>
        <v>#REF!</v>
      </c>
      <c r="H131">
        <f>COUNTIFS('מועמדים 2026'!$A:$A,$C131)</f>
        <v>5</v>
      </c>
      <c r="I131" t="e">
        <f t="shared" ref="I131:I141" si="7">IF(AND($D131&gt;0,$H131=0),"אין נתוני מועמדים לחישוב",IF(D131&gt;H131,"חסרים מועמדים ברשימה",""))</f>
        <v>#REF!</v>
      </c>
    </row>
    <row r="132" spans="1:9">
      <c r="A132" t="s">
        <v>32</v>
      </c>
      <c r="B132" t="str">
        <f>INDEX('סקרים לפי ערוץ'!$B:$B,MATCH($A132,'סקרים לפי ערוץ'!$A:$A,0))</f>
        <v>2026-10-08</v>
      </c>
      <c r="C132" t="s">
        <v>14</v>
      </c>
      <c r="D132">
        <f>INDEX('סקרים לפי ערוץ'!H:H,MATCH($A132,'סקרים לפי ערוץ'!$A:$A,0))</f>
        <v>7</v>
      </c>
      <c r="E132">
        <f>COUNTIFS('מועמדים 2026'!$A:$A,$C132,'מועמדים 2026'!$D:$D,"נ",'מועמדים 2026'!$B:$B,"&lt;="&amp;$D132)</f>
        <v>1</v>
      </c>
      <c r="F132">
        <f>COUNTIFS('מועמדים 2026'!$A:$A,$C132,'מועמדים 2026'!$D:$D,"ז",'מועמדים 2026'!$B:$B,"&lt;="&amp;$D132)</f>
        <v>6</v>
      </c>
      <c r="G132">
        <f t="shared" si="6"/>
        <v>0.14285714285714285</v>
      </c>
      <c r="H132">
        <f>COUNTIFS('מועמדים 2026'!$A:$A,$C132)</f>
        <v>10</v>
      </c>
      <c r="I132" t="str">
        <f t="shared" si="7"/>
        <v/>
      </c>
    </row>
    <row r="133" spans="1:9">
      <c r="A133" t="s">
        <v>32</v>
      </c>
      <c r="B133" t="str">
        <f>INDEX('סקרים לפי ערוץ'!$B:$B,MATCH($A133,'סקרים לפי ערוץ'!$A:$A,0))</f>
        <v>2026-10-08</v>
      </c>
      <c r="C133" t="s">
        <v>15</v>
      </c>
      <c r="D133">
        <f>INDEX('סקרים לפי ערוץ'!I:I,MATCH($A133,'סקרים לפי ערוץ'!$A:$A,0))</f>
        <v>7</v>
      </c>
      <c r="E133">
        <f>COUNTIFS('מועמדים 2026'!$A:$A,$C133,'מועמדים 2026'!$D:$D,"נ",'מועמדים 2026'!$B:$B,"&lt;="&amp;$D133)</f>
        <v>2</v>
      </c>
      <c r="F133">
        <f>COUNTIFS('מועמדים 2026'!$A:$A,$C133,'מועמדים 2026'!$D:$D,"ז",'מועמדים 2026'!$B:$B,"&lt;="&amp;$D133)</f>
        <v>5</v>
      </c>
      <c r="G133">
        <f t="shared" si="6"/>
        <v>0.2857142857142857</v>
      </c>
      <c r="H133">
        <f>COUNTIFS('מועמדים 2026'!$A:$A,$C133)</f>
        <v>20</v>
      </c>
      <c r="I133" t="str">
        <f t="shared" si="7"/>
        <v/>
      </c>
    </row>
    <row r="134" spans="1:9">
      <c r="A134" t="s">
        <v>32</v>
      </c>
      <c r="B134" t="str">
        <f>INDEX('סקרים לפי ערוץ'!$B:$B,MATCH($A134,'סקרים לפי ערוץ'!$A:$A,0))</f>
        <v>2026-10-08</v>
      </c>
      <c r="C134" t="s">
        <v>16</v>
      </c>
      <c r="D134">
        <f>INDEX('סקרים לפי ערוץ'!J:J,MATCH($A134,'סקרים לפי ערוץ'!$A:$A,0))</f>
        <v>10</v>
      </c>
      <c r="E134">
        <f>COUNTIFS('מועמדים 2026'!$A:$A,$C134,'מועמדים 2026'!$D:$D,"נ",'מועמדים 2026'!$B:$B,"&lt;="&amp;$D134)</f>
        <v>5</v>
      </c>
      <c r="F134">
        <f>COUNTIFS('מועמדים 2026'!$A:$A,$C134,'מועמדים 2026'!$D:$D,"ז",'מועמדים 2026'!$B:$B,"&lt;="&amp;$D134)</f>
        <v>5</v>
      </c>
      <c r="G134">
        <f t="shared" si="6"/>
        <v>0.5</v>
      </c>
      <c r="H134">
        <f>COUNTIFS('מועמדים 2026'!$A:$A,$C134)</f>
        <v>20</v>
      </c>
      <c r="I134" t="str">
        <f t="shared" si="7"/>
        <v/>
      </c>
    </row>
    <row r="135" spans="1:9">
      <c r="A135" t="s">
        <v>32</v>
      </c>
      <c r="B135" t="str">
        <f>INDEX('סקרים לפי ערוץ'!$B:$B,MATCH($A135,'סקרים לפי ערוץ'!$A:$A,0))</f>
        <v>2026-10-08</v>
      </c>
      <c r="C135" t="s">
        <v>17</v>
      </c>
      <c r="D135">
        <f>INDEX('סקרים לפי ערוץ'!K:K,MATCH($A135,'סקרים לפי ערוץ'!$A:$A,0))</f>
        <v>6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5</v>
      </c>
      <c r="G135">
        <f t="shared" si="6"/>
        <v>0.16666666666666666</v>
      </c>
      <c r="H135">
        <f>COUNTIFS('מועמדים 2026'!$A:$A,$C135)</f>
        <v>18</v>
      </c>
      <c r="I135" t="str">
        <f t="shared" si="7"/>
        <v/>
      </c>
    </row>
    <row r="136" spans="1:9">
      <c r="A136" t="s">
        <v>32</v>
      </c>
      <c r="B136" t="str">
        <f>INDEX('סקרים לפי ערוץ'!$B:$B,MATCH($A136,'סקרים לפי ערוץ'!$A:$A,0))</f>
        <v>2026-10-08</v>
      </c>
      <c r="C136" t="s">
        <v>18</v>
      </c>
      <c r="D136">
        <f>INDEX('סקרים לפי ערוץ'!L:L,MATCH($A136,'סקרים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6"/>
        <v>0.2</v>
      </c>
      <c r="H136">
        <f>COUNTIFS('מועמדים 2026'!$A:$A,$C136)</f>
        <v>6</v>
      </c>
      <c r="I136" t="str">
        <f t="shared" si="7"/>
        <v/>
      </c>
    </row>
    <row r="137" spans="1:9">
      <c r="A137" t="s">
        <v>32</v>
      </c>
      <c r="B137" t="str">
        <f>INDEX('סקרים לפי ערוץ'!$B:$B,MATCH($A137,'סקרים לפי ערוץ'!$A:$A,0))</f>
        <v>2026-10-08</v>
      </c>
      <c r="C137" t="s">
        <v>19</v>
      </c>
      <c r="D137">
        <f>INDEX('סקרים לפי ערוץ'!M:M,MATCH($A137,'סקרים לפי ערוץ'!$A:$A,0))</f>
        <v>9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7</v>
      </c>
      <c r="G137">
        <f t="shared" si="6"/>
        <v>0.22222222222222221</v>
      </c>
      <c r="H137">
        <f>COUNTIFS('מועמדים 2026'!$A:$A,$C137)</f>
        <v>17</v>
      </c>
      <c r="I137" t="str">
        <f t="shared" si="7"/>
        <v/>
      </c>
    </row>
    <row r="138" spans="1:9">
      <c r="A138" t="s">
        <v>32</v>
      </c>
      <c r="B138" t="str">
        <f>INDEX('סקרים לפי ערוץ'!$B:$B,MATCH($A138,'סקרים לפי ערוץ'!$A:$A,0))</f>
        <v>2026-10-08</v>
      </c>
      <c r="C138" t="s">
        <v>20</v>
      </c>
      <c r="D138">
        <f>INDEX('סקרים לפי ערוץ'!N:N,MATCH($A138,'סקרים לפי ערוץ'!$A:$A,0))</f>
        <v>11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5</v>
      </c>
      <c r="G138">
        <f t="shared" si="6"/>
        <v>0.54545454545454541</v>
      </c>
      <c r="H138">
        <f>COUNTIFS('מועמדים 2026'!$A:$A,$C138)</f>
        <v>26</v>
      </c>
      <c r="I138" t="str">
        <f t="shared" si="7"/>
        <v/>
      </c>
    </row>
    <row r="139" spans="1:9">
      <c r="A139" t="s">
        <v>32</v>
      </c>
      <c r="B139" t="str">
        <f>INDEX('סקרים לפי ערוץ'!$B:$B,MATCH($A139,'סקרים לפי ערוץ'!$A:$A,0))</f>
        <v>2026-10-08</v>
      </c>
      <c r="C139" t="s">
        <v>21</v>
      </c>
      <c r="D139">
        <f>INDEX('סקרים לפי ערוץ'!O:O,MATCH($A139,'סקרים לפי ערוץ'!$A:$A,0))</f>
        <v>20</v>
      </c>
      <c r="E139">
        <f>COUNTIFS('מועמדים 2026'!$A:$A,$C139,'מועמדים 2026'!$D:$D,"נ",'מועמדים 2026'!$B:$B,"&lt;="&amp;$D139)</f>
        <v>10</v>
      </c>
      <c r="F139">
        <f>COUNTIFS('מועמדים 2026'!$A:$A,$C139,'מועמדים 2026'!$D:$D,"ז",'מועמדים 2026'!$B:$B,"&lt;="&amp;$D139)</f>
        <v>10</v>
      </c>
      <c r="G139">
        <f t="shared" si="6"/>
        <v>0.5</v>
      </c>
      <c r="H139">
        <f>COUNTIFS('מועמדים 2026'!$A:$A,$C139)</f>
        <v>40</v>
      </c>
      <c r="I139" t="str">
        <f t="shared" si="7"/>
        <v/>
      </c>
    </row>
    <row r="140" spans="1:9">
      <c r="A140" t="s">
        <v>32</v>
      </c>
      <c r="B140" t="str">
        <f>INDEX('סקרים לפי ערוץ'!$B:$B,MATCH($A140,'סקרים לפי ערוץ'!$A:$A,0))</f>
        <v>2026-10-08</v>
      </c>
      <c r="C140" t="s">
        <v>22</v>
      </c>
      <c r="D140">
        <f>INDEX('סקרים לפי ערוץ'!P:P,MATCH($A140,'סקרים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6"/>
        <v>0.25</v>
      </c>
      <c r="H140">
        <f>COUNTIFS('מועמדים 2026'!$A:$A,$C140)</f>
        <v>11</v>
      </c>
      <c r="I140" t="str">
        <f t="shared" si="7"/>
        <v/>
      </c>
    </row>
    <row r="141" spans="1:9">
      <c r="A141" t="s">
        <v>32</v>
      </c>
      <c r="B141" t="str">
        <f>INDEX('סקרים לפי ערוץ'!$B:$B,MATCH($A141,'סקרים לפי ערוץ'!$A:$A,0))</f>
        <v>2026-10-08</v>
      </c>
      <c r="C141" t="s">
        <v>23</v>
      </c>
      <c r="D141">
        <f>INDEX('סקרים לפי ערוץ'!Q:Q,MATCH($A141,'סקרים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6"/>
        <v>0</v>
      </c>
      <c r="H141">
        <f>COUNTIFS('מועמדים 2026'!$A:$A,$C141)</f>
        <v>20</v>
      </c>
      <c r="I141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2026-10-20T08:00:29Z</dcterms:modified>
  <dc:language>en-US</dc:language>
</cp:coreProperties>
</file>