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סקרים לפי ערוץ" sheetId="8" state="visible" r:id="rId8"/>
    <sheet xmlns:r="http://schemas.openxmlformats.org/officeDocument/2006/relationships" name="חישוב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3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30" t="inlineStr">
        <is>
          <t>ביחד (בנט-לפיד)</t>
        </is>
      </c>
      <c r="B2" s="30" t="n">
        <v>1</v>
      </c>
      <c r="C2" s="30" t="inlineStr">
        <is>
          <t>נפתלי בנט</t>
        </is>
      </c>
      <c r="D2" s="30" t="inlineStr">
        <is>
          <t>ז</t>
        </is>
      </c>
      <c r="E2" s="33" t="inlineStr">
        <is>
          <t>רשמי - מוביל הרשימה</t>
        </is>
      </c>
    </row>
    <row r="3" ht="15" customHeight="1" s="20">
      <c r="A3" s="30" t="inlineStr">
        <is>
          <t>ביחד (בנט-לפיד)</t>
        </is>
      </c>
      <c r="B3" s="30" t="n">
        <v>2</v>
      </c>
      <c r="C3" s="30" t="inlineStr">
        <is>
          <t>יאיר לפיד</t>
        </is>
      </c>
      <c r="D3" s="30" t="inlineStr">
        <is>
          <t>ז</t>
        </is>
      </c>
      <c r="E3" s="33" t="inlineStr">
        <is>
          <t>יו"ר יש עתיד, ממוקם מס' 2 באומדן</t>
        </is>
      </c>
    </row>
    <row r="4" ht="15" customHeight="1" s="20">
      <c r="A4" s="30" t="inlineStr">
        <is>
          <t>ביחד (בנט-לפיד)</t>
        </is>
      </c>
      <c r="B4" s="30" t="n">
        <v>3</v>
      </c>
      <c r="C4" s="30" t="inlineStr">
        <is>
          <t>אורנה ברביבאי</t>
        </is>
      </c>
      <c r="D4" s="30" t="inlineStr">
        <is>
          <t>נ</t>
        </is>
      </c>
      <c r="E4" s="33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30" t="inlineStr">
        <is>
          <t>ביחד (בנט-לפיד)</t>
        </is>
      </c>
      <c r="B5" s="30" t="n">
        <v>4</v>
      </c>
      <c r="C5" s="30" t="inlineStr">
        <is>
          <t>מאיר כהן</t>
        </is>
      </c>
      <c r="D5" s="30" t="inlineStr">
        <is>
          <t>ז</t>
        </is>
      </c>
      <c r="E5" s="33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30" t="inlineStr">
        <is>
          <t>ביחד (בנט-לפיד)</t>
        </is>
      </c>
      <c r="B6" s="30" t="n">
        <v>5</v>
      </c>
      <c r="C6" s="30" t="inlineStr">
        <is>
          <t>קארין אלהרר</t>
        </is>
      </c>
      <c r="D6" s="30" t="inlineStr">
        <is>
          <t>נ</t>
        </is>
      </c>
      <c r="E6" s="33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30" t="inlineStr">
        <is>
          <t>ביחד (בנט-לפיד)</t>
        </is>
      </c>
      <c r="B7" s="30" t="n">
        <v>6</v>
      </c>
      <c r="C7" s="30" t="inlineStr">
        <is>
          <t>מירב כהן</t>
        </is>
      </c>
      <c r="D7" s="30" t="inlineStr">
        <is>
          <t>נ</t>
        </is>
      </c>
      <c r="E7" s="33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30" t="inlineStr">
        <is>
          <t>ביחד (בנט-לפיד)</t>
        </is>
      </c>
      <c r="B8" s="30" t="n">
        <v>7</v>
      </c>
      <c r="C8" s="30" t="inlineStr">
        <is>
          <t>יואל רזבוזוב</t>
        </is>
      </c>
      <c r="D8" s="30" t="inlineStr">
        <is>
          <t>ז</t>
        </is>
      </c>
      <c r="E8" s="33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30" t="inlineStr">
        <is>
          <t>ביחד (בנט-לפיד)</t>
        </is>
      </c>
      <c r="B9" s="30" t="n">
        <v>8</v>
      </c>
      <c r="C9" s="30" t="inlineStr">
        <is>
          <t>נעם תיבון</t>
        </is>
      </c>
      <c r="D9" s="30" t="inlineStr">
        <is>
          <t>ז</t>
        </is>
      </c>
      <c r="E9" s="33" t="inlineStr">
        <is>
          <t>דווח בתקשורת (צד בנט), סדר משוער - בתוך 14 המנדטים</t>
        </is>
      </c>
    </row>
    <row r="10" ht="15" customHeight="1" s="20">
      <c r="A10" s="30" t="inlineStr">
        <is>
          <t>ביחד (בנט-לפיד)</t>
        </is>
      </c>
      <c r="B10" s="30" t="n">
        <v>9</v>
      </c>
      <c r="C10" s="30" t="inlineStr">
        <is>
          <t>קרן טרנר</t>
        </is>
      </c>
      <c r="D10" s="30" t="inlineStr">
        <is>
          <t>נ</t>
        </is>
      </c>
      <c r="E10" s="33" t="inlineStr">
        <is>
          <t>דווח בתקשורת (צד בנט), סדר משוער - בתוך 14 המנדטים</t>
        </is>
      </c>
    </row>
    <row r="11" ht="15" customHeight="1" s="20">
      <c r="A11" s="30" t="inlineStr">
        <is>
          <t>ביחד (בנט-לפיד)</t>
        </is>
      </c>
      <c r="B11" s="30" t="n">
        <v>10</v>
      </c>
      <c r="C11" s="30" t="inlineStr">
        <is>
          <t>לירן אבישר בן-חורין</t>
        </is>
      </c>
      <c r="D11" s="30" t="inlineStr">
        <is>
          <t>נ</t>
        </is>
      </c>
      <c r="E11" s="33" t="inlineStr">
        <is>
          <t>דווח בתקשורת (צד בנט), סדר משוער - בתוך 14 המנדטים</t>
        </is>
      </c>
    </row>
    <row r="12" ht="15" customHeight="1" s="20">
      <c r="A12" s="30" t="inlineStr">
        <is>
          <t>ביחד (בנט-לפיד)</t>
        </is>
      </c>
      <c r="B12" s="30" t="n">
        <v>11</v>
      </c>
      <c r="C12" s="30" t="inlineStr">
        <is>
          <t>יונתן שלו</t>
        </is>
      </c>
      <c r="D12" s="30" t="inlineStr">
        <is>
          <t>ז</t>
        </is>
      </c>
      <c r="E12" s="33" t="inlineStr">
        <is>
          <t>דווח בתקשורת (צד בנט), סדר משוער - בתוך 14 המנדטים</t>
        </is>
      </c>
    </row>
    <row r="13" ht="15" customHeight="1" s="20">
      <c r="A13" s="30" t="inlineStr">
        <is>
          <t>ביחד (בנט-לפיד)</t>
        </is>
      </c>
      <c r="B13" s="30" t="n">
        <v>12</v>
      </c>
      <c r="C13" s="30" t="inlineStr">
        <is>
          <t>ניר נובק</t>
        </is>
      </c>
      <c r="D13" s="30" t="inlineStr">
        <is>
          <t>ז</t>
        </is>
      </c>
      <c r="E13" s="3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30" t="inlineStr">
        <is>
          <t>ביחד (בנט-לפיד)</t>
        </is>
      </c>
      <c r="B14" s="30" t="n">
        <v>13</v>
      </c>
      <c r="C14" s="30" t="inlineStr">
        <is>
          <t>ברוריה נעים ארמן</t>
        </is>
      </c>
      <c r="D14" s="30" t="inlineStr">
        <is>
          <t>נ</t>
        </is>
      </c>
      <c r="E14" s="33" t="inlineStr">
        <is>
          <t>דווח בתקשורת (צד בנט), סדר משוער - בתוך 14 המנדטים</t>
        </is>
      </c>
    </row>
    <row r="15" ht="15" customHeight="1" s="20">
      <c r="A15" s="30" t="inlineStr">
        <is>
          <t>ביחד (בנט-לפיד)</t>
        </is>
      </c>
      <c r="B15" s="30" t="n">
        <v>14</v>
      </c>
      <c r="C15" s="30" t="inlineStr">
        <is>
          <t>אליס אחרק</t>
        </is>
      </c>
      <c r="D15" s="30" t="inlineStr">
        <is>
          <t>נ</t>
        </is>
      </c>
      <c r="E15" s="33" t="inlineStr">
        <is>
          <t>דווח בתקשורת (צד בנט), סדר משוער - בתוך 14 המנדטים</t>
        </is>
      </c>
    </row>
    <row r="16" ht="15" customHeight="1" s="20">
      <c r="A16" s="30" t="inlineStr">
        <is>
          <t>ביחד (בנט-לפיד)</t>
        </is>
      </c>
      <c r="B16" s="30" t="n">
        <v>15</v>
      </c>
      <c r="C16" s="30" t="inlineStr">
        <is>
          <t>מירב בן-ארי</t>
        </is>
      </c>
      <c r="D16" s="30" t="inlineStr">
        <is>
          <t>נ</t>
        </is>
      </c>
      <c r="E16" s="33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30" t="inlineStr">
        <is>
          <t>ביחד (בנט-לפיד)</t>
        </is>
      </c>
      <c r="B17" s="30" t="n">
        <v>16</v>
      </c>
      <c r="C17" s="30" t="inlineStr">
        <is>
          <t>רם בן ברק</t>
        </is>
      </c>
      <c r="D17" s="30" t="inlineStr">
        <is>
          <t>ז</t>
        </is>
      </c>
      <c r="E17" s="33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30" t="inlineStr">
        <is>
          <t>ביחד (בנט-לפיד)</t>
        </is>
      </c>
      <c r="B18" s="30" t="n">
        <v>18</v>
      </c>
      <c r="C18" s="30" t="inlineStr">
        <is>
          <t>שיר מיכל סגמן</t>
        </is>
      </c>
      <c r="D18" s="30" t="inlineStr">
        <is>
          <t>נ</t>
        </is>
      </c>
      <c r="E18" s="33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30" t="inlineStr">
        <is>
          <t>ביחד (בנט-לפיד)</t>
        </is>
      </c>
      <c r="B19" s="30" t="n">
        <v>19</v>
      </c>
      <c r="C19" s="30" t="inlineStr">
        <is>
          <t>יוראי להב הרצנו</t>
        </is>
      </c>
      <c r="D19" s="30" t="inlineStr">
        <is>
          <t>ז</t>
        </is>
      </c>
      <c r="E19" s="33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30" t="inlineStr">
        <is>
          <t>ביחד (בנט-לפיד)</t>
        </is>
      </c>
      <c r="B20" s="30" t="n">
        <v>20</v>
      </c>
      <c r="C20" s="30" t="inlineStr">
        <is>
          <t>ולדימיר בליאק</t>
        </is>
      </c>
      <c r="D20" s="30" t="inlineStr">
        <is>
          <t>ז</t>
        </is>
      </c>
      <c r="E20" s="33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30" t="inlineStr">
        <is>
          <t>ביחד (בנט-לפיד)</t>
        </is>
      </c>
      <c r="B21" s="30" t="n">
        <v>21</v>
      </c>
      <c r="C21" s="30" t="inlineStr">
        <is>
          <t>רון כץ</t>
        </is>
      </c>
      <c r="D21" s="30" t="inlineStr">
        <is>
          <t>ז</t>
        </is>
      </c>
      <c r="E21" s="33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30" t="inlineStr">
        <is>
          <t>ביחד (בנט-לפיד)</t>
        </is>
      </c>
      <c r="B22" s="30" t="n">
        <v>22</v>
      </c>
      <c r="C22" s="30" t="inlineStr">
        <is>
          <t>מטי צרפתי הרכבי</t>
        </is>
      </c>
      <c r="D22" s="30" t="inlineStr">
        <is>
          <t>נ</t>
        </is>
      </c>
      <c r="E22" s="33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30" t="inlineStr">
        <is>
          <t>ביחד (בנט-לפיד)</t>
        </is>
      </c>
      <c r="B23" s="30" t="n">
        <v>23</v>
      </c>
      <c r="C23" s="30" t="inlineStr">
        <is>
          <t>טטיאנה מזרסקי</t>
        </is>
      </c>
      <c r="D23" s="30" t="inlineStr">
        <is>
          <t>נ</t>
        </is>
      </c>
      <c r="E23" s="3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30" t="inlineStr">
        <is>
          <t>ביחד (בנט-לפיד)</t>
        </is>
      </c>
      <c r="B24" s="30" t="n">
        <v>24</v>
      </c>
      <c r="C24" s="30" t="inlineStr">
        <is>
          <t>יסמין סאקס פרידמן</t>
        </is>
      </c>
      <c r="D24" s="30" t="inlineStr">
        <is>
          <t>נ</t>
        </is>
      </c>
      <c r="E24" s="33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30" t="inlineStr">
        <is>
          <t>ביחד (בנט-לפיד)</t>
        </is>
      </c>
      <c r="B25" s="30" t="n">
        <v>25</v>
      </c>
      <c r="C25" s="30" t="inlineStr">
        <is>
          <t>דבורה דבי ביטון</t>
        </is>
      </c>
      <c r="D25" s="30" t="inlineStr">
        <is>
          <t>נ</t>
        </is>
      </c>
      <c r="E25" s="33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30" t="inlineStr">
        <is>
          <t>ביחד (בנט-לפיד)</t>
        </is>
      </c>
      <c r="B26" s="30" t="n">
        <v>26</v>
      </c>
      <c r="C26" s="30" t="inlineStr">
        <is>
          <t>משה טור פז</t>
        </is>
      </c>
      <c r="D26" s="30" t="inlineStr">
        <is>
          <t>ז</t>
        </is>
      </c>
      <c r="E26" s="33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30" t="inlineStr">
        <is>
          <t>ביחד (בנט-לפיד)</t>
        </is>
      </c>
      <c r="B27" s="30" t="n">
        <v>27</v>
      </c>
      <c r="C27" s="30" t="inlineStr">
        <is>
          <t>סימון דוידסון</t>
        </is>
      </c>
      <c r="D27" s="30" t="inlineStr">
        <is>
          <t>ז</t>
        </is>
      </c>
      <c r="E27" s="33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30" t="inlineStr">
        <is>
          <t>ביחד (בנט-לפיד)</t>
        </is>
      </c>
      <c r="B28" s="30" t="n">
        <v>28</v>
      </c>
      <c r="C28" s="30" t="inlineStr">
        <is>
          <t>שירי נאור</t>
        </is>
      </c>
      <c r="D28" s="30" t="inlineStr">
        <is>
          <t>ז</t>
        </is>
      </c>
      <c r="E28" s="33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30" t="inlineStr">
        <is>
          <t>ביחד (בנט-לפיד)</t>
        </is>
      </c>
      <c r="B29" s="30" t="n">
        <v>29</v>
      </c>
      <c r="C29" s="30" t="inlineStr">
        <is>
          <t>שלי טל מירון</t>
        </is>
      </c>
      <c r="D29" s="30" t="inlineStr">
        <is>
          <t>נ</t>
        </is>
      </c>
      <c r="E29" s="33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30" t="inlineStr">
        <is>
          <t>ביחד (בנט-לפיד)</t>
        </is>
      </c>
      <c r="B30" s="30" t="n">
        <v>30</v>
      </c>
      <c r="C30" s="30" t="inlineStr">
        <is>
          <t>ירון לוי</t>
        </is>
      </c>
      <c r="D30" s="30" t="inlineStr">
        <is>
          <t>ז</t>
        </is>
      </c>
      <c r="E30" s="33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30" t="inlineStr">
        <is>
          <t>ביחד (בנט-לפיד)</t>
        </is>
      </c>
      <c r="B31" s="30" t="n">
        <v>31</v>
      </c>
      <c r="C31" s="30" t="inlineStr">
        <is>
          <t>עדי עזוז</t>
        </is>
      </c>
      <c r="D31" s="30" t="inlineStr">
        <is>
          <t>נ</t>
        </is>
      </c>
      <c r="E31" s="33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30" t="inlineStr">
        <is>
          <t>ביחד (בנט-לפיד)</t>
        </is>
      </c>
      <c r="B32" s="30" t="n">
        <v>32</v>
      </c>
      <c r="C32" s="30" t="inlineStr">
        <is>
          <t>עוז חיים</t>
        </is>
      </c>
      <c r="D32" s="30" t="inlineStr">
        <is>
          <t>ז</t>
        </is>
      </c>
      <c r="E32" s="33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30" t="inlineStr">
        <is>
          <t>ביחד (בנט-לפיד)</t>
        </is>
      </c>
      <c r="B33" s="30" t="n">
        <v>34</v>
      </c>
      <c r="C33" s="30" t="inlineStr">
        <is>
          <t>גדי לסין</t>
        </is>
      </c>
      <c r="D33" s="30" t="inlineStr">
        <is>
          <t>ז</t>
        </is>
      </c>
      <c r="E33" s="33" t="inlineStr">
        <is>
          <t>דווח בתקשורת (צד בנט), סדר משוער - מחוץ ל-14 המנדטים, לרפרנס בלבד</t>
        </is>
      </c>
    </row>
    <row r="34" ht="15" customHeight="1" s="20">
      <c r="A34" s="30" t="inlineStr">
        <is>
          <t>ביחד (בנט-לפיד)</t>
        </is>
      </c>
      <c r="B34" s="30" t="n">
        <v>35</v>
      </c>
      <c r="C34" s="30" t="inlineStr">
        <is>
          <t>עופר אוגש</t>
        </is>
      </c>
      <c r="D34" s="30" t="inlineStr">
        <is>
          <t>ז</t>
        </is>
      </c>
      <c r="E34" s="33" t="inlineStr">
        <is>
          <t>דווח בתקשורת (צד בנט), סדר משוער - מחוץ ל-14 המנדטים, לרפרנס בלבד</t>
        </is>
      </c>
    </row>
    <row r="35" ht="15" customHeight="1" s="20">
      <c r="A35" s="30" t="inlineStr">
        <is>
          <t>ביחד (בנט-לפיד)</t>
        </is>
      </c>
      <c r="B35" s="30" t="n">
        <v>36</v>
      </c>
      <c r="C35" s="30" t="inlineStr">
        <is>
          <t>ירון וייס</t>
        </is>
      </c>
      <c r="D35" s="30" t="inlineStr">
        <is>
          <t>ז</t>
        </is>
      </c>
      <c r="E35" s="33" t="inlineStr">
        <is>
          <t>דווח בתקשורת (צד בנט), סדר משוער - מחוץ ל-14 המנדטים, לרפרנס בלבד</t>
        </is>
      </c>
    </row>
    <row r="36" ht="15" customHeight="1" s="20">
      <c r="A36" s="30" t="inlineStr">
        <is>
          <t>ביחד (בנט-לפיד)</t>
        </is>
      </c>
      <c r="B36" s="30" t="n">
        <v>37</v>
      </c>
      <c r="C36" s="30" t="inlineStr">
        <is>
          <t>אלעזר שטרן</t>
        </is>
      </c>
      <c r="D36" s="30" t="inlineStr">
        <is>
          <t>ז</t>
        </is>
      </c>
      <c r="E36" s="33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30" t="inlineStr">
        <is>
          <t>ביחד (בנט-לפיד)</t>
        </is>
      </c>
      <c r="B37" s="30" t="n">
        <v>38</v>
      </c>
      <c r="C37" s="30" t="inlineStr">
        <is>
          <t>מיקי לוי</t>
        </is>
      </c>
      <c r="D37" s="30" t="inlineStr">
        <is>
          <t>ז</t>
        </is>
      </c>
      <c r="E37" s="33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30" t="inlineStr">
        <is>
          <t>הדמוקרטים</t>
        </is>
      </c>
      <c r="B38" s="30" t="n">
        <v>1</v>
      </c>
      <c r="C38" s="30" t="inlineStr">
        <is>
          <t>יאיר גולן</t>
        </is>
      </c>
      <c r="D38" s="30" t="inlineStr">
        <is>
          <t>ז</t>
        </is>
      </c>
      <c r="E38" s="33" t="inlineStr">
        <is>
          <t>רשימה רשמית (אתר המפלגה)</t>
        </is>
      </c>
    </row>
    <row r="39" ht="15" customHeight="1" s="20">
      <c r="A39" s="30" t="inlineStr">
        <is>
          <t>הדמוקרטים</t>
        </is>
      </c>
      <c r="B39" s="30" t="n">
        <v>2</v>
      </c>
      <c r="C39" s="30" t="inlineStr">
        <is>
          <t>נעמה לזימי</t>
        </is>
      </c>
      <c r="D39" s="30" t="inlineStr">
        <is>
          <t>נ</t>
        </is>
      </c>
      <c r="E39" s="33" t="inlineStr">
        <is>
          <t>רשימה רשמית (אתר המפלגה)</t>
        </is>
      </c>
    </row>
    <row r="40" ht="15" customHeight="1" s="20">
      <c r="A40" s="30" t="inlineStr">
        <is>
          <t>הדמוקרטים</t>
        </is>
      </c>
      <c r="B40" s="30" t="n">
        <v>3</v>
      </c>
      <c r="C40" s="30" t="inlineStr">
        <is>
          <t>גלעד קריב</t>
        </is>
      </c>
      <c r="D40" s="30" t="inlineStr">
        <is>
          <t>ז</t>
        </is>
      </c>
      <c r="E40" s="33" t="inlineStr">
        <is>
          <t>רשימה רשמית (אתר המפלגה)</t>
        </is>
      </c>
    </row>
    <row r="41" ht="15" customHeight="1" s="20">
      <c r="A41" s="30" t="inlineStr">
        <is>
          <t>הדמוקרטים</t>
        </is>
      </c>
      <c r="B41" s="30" t="n">
        <v>4</v>
      </c>
      <c r="C41" s="30" t="inlineStr">
        <is>
          <t>אפרת רייטן</t>
        </is>
      </c>
      <c r="D41" s="30" t="inlineStr">
        <is>
          <t>נ</t>
        </is>
      </c>
      <c r="E41" s="33" t="inlineStr">
        <is>
          <t>רשימה רשמית (אתר המפלגה)</t>
        </is>
      </c>
    </row>
    <row r="42" ht="15" customHeight="1" s="20">
      <c r="A42" s="30" t="inlineStr">
        <is>
          <t>הדמוקרטים</t>
        </is>
      </c>
      <c r="B42" s="30" t="n">
        <v>5</v>
      </c>
      <c r="C42" s="30" t="inlineStr">
        <is>
          <t>יאיר פינק</t>
        </is>
      </c>
      <c r="D42" s="30" t="inlineStr">
        <is>
          <t>ז</t>
        </is>
      </c>
      <c r="E42" s="33" t="inlineStr">
        <is>
          <t>רשימה רשמית (אתר המפלגה)</t>
        </is>
      </c>
    </row>
    <row r="43" ht="15" customHeight="1" s="20">
      <c r="A43" s="30" t="inlineStr">
        <is>
          <t>הדמוקרטים</t>
        </is>
      </c>
      <c r="B43" s="30" t="n">
        <v>6</v>
      </c>
      <c r="C43" s="30" t="inlineStr">
        <is>
          <t>גבי לסקי</t>
        </is>
      </c>
      <c r="D43" s="30" t="inlineStr">
        <is>
          <t>נ</t>
        </is>
      </c>
      <c r="E43" s="33" t="inlineStr">
        <is>
          <t>רשימה רשמית (אתר המפלגה)</t>
        </is>
      </c>
    </row>
    <row r="44" ht="15" customHeight="1" s="20">
      <c r="A44" s="30" t="inlineStr">
        <is>
          <t>הדמוקרטים</t>
        </is>
      </c>
      <c r="B44" s="30" t="n">
        <v>7</v>
      </c>
      <c r="C44" s="30" t="inlineStr">
        <is>
          <t>עמרי רונן</t>
        </is>
      </c>
      <c r="D44" s="30" t="inlineStr">
        <is>
          <t>ז</t>
        </is>
      </c>
      <c r="E44" s="33" t="inlineStr">
        <is>
          <t>רשימה רשמית (אתר המפלגה)</t>
        </is>
      </c>
    </row>
    <row r="45" ht="15" customHeight="1" s="20">
      <c r="A45" s="30" t="inlineStr">
        <is>
          <t>הדמוקרטים</t>
        </is>
      </c>
      <c r="B45" s="30" t="n">
        <v>8</v>
      </c>
      <c r="C45" s="30" t="inlineStr">
        <is>
          <t>מיכל רוזין</t>
        </is>
      </c>
      <c r="D45" s="30" t="inlineStr">
        <is>
          <t>נ</t>
        </is>
      </c>
      <c r="E45" s="33" t="inlineStr">
        <is>
          <t>רשימה רשמית (אתר המפלגה)</t>
        </is>
      </c>
    </row>
    <row r="46" ht="15" customHeight="1" s="20">
      <c r="A46" s="30" t="inlineStr">
        <is>
          <t>הדמוקרטים</t>
        </is>
      </c>
      <c r="B46" s="30" t="n">
        <v>9</v>
      </c>
      <c r="C46" s="30" t="inlineStr">
        <is>
          <t>משה רדמן אבוטבול</t>
        </is>
      </c>
      <c r="D46" s="30" t="inlineStr">
        <is>
          <t>ז</t>
        </is>
      </c>
      <c r="E46" s="33" t="inlineStr">
        <is>
          <t>רשימה רשמית (אתר המפלגה)</t>
        </is>
      </c>
    </row>
    <row r="47" ht="15" customHeight="1" s="20">
      <c r="A47" s="30" t="inlineStr">
        <is>
          <t>הדמוקרטים</t>
        </is>
      </c>
      <c r="B47" s="30" t="n">
        <v>10</v>
      </c>
      <c r="C47" s="30" t="inlineStr">
        <is>
          <t>סומיה בשיר</t>
        </is>
      </c>
      <c r="D47" s="30" t="inlineStr">
        <is>
          <t>נ</t>
        </is>
      </c>
      <c r="E47" s="33" t="inlineStr">
        <is>
          <t>רשימה רשמית (אתר המפלגה)</t>
        </is>
      </c>
    </row>
    <row r="48" ht="15" customHeight="1" s="20">
      <c r="A48" s="30" t="inlineStr">
        <is>
          <t>הליכוד</t>
        </is>
      </c>
      <c r="B48" s="30" t="n">
        <v>1</v>
      </c>
      <c r="C48" s="30" t="inlineStr">
        <is>
          <t>בנימין נתניהו</t>
        </is>
      </c>
      <c r="D48" s="30" t="inlineStr">
        <is>
          <t>ז</t>
        </is>
      </c>
      <c r="E48" s="33" t="inlineStr">
        <is>
          <t>חבר/ת כנסת מכהן/ת</t>
        </is>
      </c>
    </row>
    <row r="49" ht="15" customHeight="1" s="20">
      <c r="A49" s="30" t="inlineStr">
        <is>
          <t>הליכוד</t>
        </is>
      </c>
      <c r="B49" s="30" t="n">
        <v>2</v>
      </c>
      <c r="C49" s="30" t="inlineStr">
        <is>
          <t>יריב לוין</t>
        </is>
      </c>
      <c r="D49" s="30" t="inlineStr">
        <is>
          <t>ז</t>
        </is>
      </c>
      <c r="E49" s="33" t="inlineStr">
        <is>
          <t>חבר/ת כנסת מכהן/ת</t>
        </is>
      </c>
    </row>
    <row r="50" ht="15" customHeight="1" s="20">
      <c r="A50" s="30" t="inlineStr">
        <is>
          <t>הליכוד</t>
        </is>
      </c>
      <c r="B50" s="30" t="n">
        <v>3</v>
      </c>
      <c r="C50" s="30" t="inlineStr">
        <is>
          <t>אלי כהן</t>
        </is>
      </c>
      <c r="D50" s="30" t="inlineStr">
        <is>
          <t>ז</t>
        </is>
      </c>
      <c r="E50" s="33" t="inlineStr">
        <is>
          <t>חבר כנסת מכהן (תוקן: הוחלף מ-ישראל כץ בהתאם לרשימת הכנסת ה-25 הרשמית, kan.org.il)</t>
        </is>
      </c>
    </row>
    <row r="51" ht="15" customHeight="1" s="20">
      <c r="A51" s="30" t="inlineStr">
        <is>
          <t>הליכוד</t>
        </is>
      </c>
      <c r="B51" s="30" t="n">
        <v>4</v>
      </c>
      <c r="C51" s="30" t="inlineStr">
        <is>
          <t>יואב גלנט</t>
        </is>
      </c>
      <c r="D51" s="30" t="inlineStr">
        <is>
          <t>ז</t>
        </is>
      </c>
      <c r="E51" s="33" t="inlineStr">
        <is>
          <t>חבר/ת כנסת מכהן/ת</t>
        </is>
      </c>
    </row>
    <row r="52" ht="15" customHeight="1" s="20">
      <c r="A52" s="30" t="inlineStr">
        <is>
          <t>הליכוד</t>
        </is>
      </c>
      <c r="B52" s="30" t="n">
        <v>5</v>
      </c>
      <c r="C52" s="30" t="inlineStr">
        <is>
          <t>דוד אמסלם</t>
        </is>
      </c>
      <c r="D52" s="30" t="inlineStr">
        <is>
          <t>ז</t>
        </is>
      </c>
      <c r="E52" s="33" t="inlineStr">
        <is>
          <t>חבר/ת כנסת מכהן/ת</t>
        </is>
      </c>
    </row>
    <row r="53" ht="15" customHeight="1" s="20">
      <c r="A53" s="30" t="inlineStr">
        <is>
          <t>הליכוד</t>
        </is>
      </c>
      <c r="B53" s="30" t="n">
        <v>6</v>
      </c>
      <c r="C53" s="30" t="inlineStr">
        <is>
          <t>אמיר אוחנה</t>
        </is>
      </c>
      <c r="D53" s="30" t="inlineStr">
        <is>
          <t>ז</t>
        </is>
      </c>
      <c r="E53" s="33" t="inlineStr">
        <is>
          <t>חבר/ת כנסת מכהן/ת</t>
        </is>
      </c>
    </row>
    <row r="54" ht="15" customHeight="1" s="20">
      <c r="A54" s="30" t="inlineStr">
        <is>
          <t>הליכוד</t>
        </is>
      </c>
      <c r="B54" s="30" t="n">
        <v>7</v>
      </c>
      <c r="C54" s="30" t="inlineStr">
        <is>
          <t>יואב קיש</t>
        </is>
      </c>
      <c r="D54" s="30" t="inlineStr">
        <is>
          <t>ז</t>
        </is>
      </c>
      <c r="E54" s="33" t="inlineStr">
        <is>
          <t>חבר/ת כנסת מכהן/ת</t>
        </is>
      </c>
    </row>
    <row r="55" ht="15" customHeight="1" s="20">
      <c r="A55" s="30" t="inlineStr">
        <is>
          <t>הליכוד</t>
        </is>
      </c>
      <c r="B55" s="30" t="n">
        <v>8</v>
      </c>
      <c r="C55" s="30" t="inlineStr">
        <is>
          <t>ניר ברקת</t>
        </is>
      </c>
      <c r="D55" s="30" t="inlineStr">
        <is>
          <t>ז</t>
        </is>
      </c>
      <c r="E55" s="33" t="inlineStr">
        <is>
          <t>חבר/ת כנסת מכהן/ת</t>
        </is>
      </c>
    </row>
    <row r="56" ht="15" customHeight="1" s="20">
      <c r="A56" s="30" t="inlineStr">
        <is>
          <t>הליכוד</t>
        </is>
      </c>
      <c r="B56" s="30" t="n">
        <v>9</v>
      </c>
      <c r="C56" s="30" t="inlineStr">
        <is>
          <t>מירי רגב</t>
        </is>
      </c>
      <c r="D56" s="30" t="inlineStr">
        <is>
          <t>נ</t>
        </is>
      </c>
      <c r="E56" s="33" t="inlineStr">
        <is>
          <t>חבר/ת כנסת מכהן/ת</t>
        </is>
      </c>
    </row>
    <row r="57" ht="15" customHeight="1" s="20">
      <c r="A57" s="30" t="inlineStr">
        <is>
          <t>הליכוד</t>
        </is>
      </c>
      <c r="B57" s="30" t="n">
        <v>10</v>
      </c>
      <c r="C57" s="30" t="inlineStr">
        <is>
          <t>מיקי זוהר</t>
        </is>
      </c>
      <c r="D57" s="30" t="inlineStr">
        <is>
          <t>ז</t>
        </is>
      </c>
      <c r="E57" s="33" t="inlineStr">
        <is>
          <t>חבר/ת כנסת מכהן/ת</t>
        </is>
      </c>
    </row>
    <row r="58" ht="15" customHeight="1" s="20">
      <c r="A58" s="30" t="inlineStr">
        <is>
          <t>הליכוד</t>
        </is>
      </c>
      <c r="B58" s="30" t="n">
        <v>11</v>
      </c>
      <c r="C58" s="30" t="inlineStr">
        <is>
          <t>אבי דיכטר</t>
        </is>
      </c>
      <c r="D58" s="30" t="inlineStr">
        <is>
          <t>ז</t>
        </is>
      </c>
      <c r="E58" s="33" t="inlineStr">
        <is>
          <t>חבר/ת כנסת מכהן/ת</t>
        </is>
      </c>
    </row>
    <row r="59" ht="15" customHeight="1" s="20">
      <c r="A59" s="30" t="inlineStr">
        <is>
          <t>הליכוד</t>
        </is>
      </c>
      <c r="B59" s="30" t="n">
        <v>12</v>
      </c>
      <c r="C59" s="30" t="inlineStr">
        <is>
          <t>ישראל כץ</t>
        </is>
      </c>
      <c r="D59" s="30" t="inlineStr">
        <is>
          <t>ז</t>
        </is>
      </c>
      <c r="E59" s="33" t="inlineStr">
        <is>
          <t>חבר כנסת מכהן (תוקן: היה מסומן כלא ידוע, זוהה כישראל כץ לפי רשימת הכנסת ה-25 הרשמית, kan.org.il)</t>
        </is>
      </c>
    </row>
    <row r="60" ht="15" customHeight="1" s="20">
      <c r="A60" s="30" t="inlineStr">
        <is>
          <t>הליכוד</t>
        </is>
      </c>
      <c r="B60" s="30" t="n">
        <v>13</v>
      </c>
      <c r="C60" s="30" t="inlineStr">
        <is>
          <t>שלמה קרעי</t>
        </is>
      </c>
      <c r="D60" s="30" t="inlineStr">
        <is>
          <t>ז</t>
        </is>
      </c>
      <c r="E60" s="33" t="inlineStr">
        <is>
          <t>חבר/ת כנסת מכהן/ת</t>
        </is>
      </c>
    </row>
    <row r="61" ht="15" customHeight="1" s="20">
      <c r="A61" s="30" t="inlineStr">
        <is>
          <t>הליכוד</t>
        </is>
      </c>
      <c r="B61" s="30" t="n">
        <v>14</v>
      </c>
      <c r="C61" s="30" t="inlineStr">
        <is>
          <t>אמיחי שיקלי</t>
        </is>
      </c>
      <c r="D61" s="30" t="inlineStr">
        <is>
          <t>ז</t>
        </is>
      </c>
      <c r="E61" s="33" t="inlineStr">
        <is>
          <t>חבר/ת כנסת מכהן/ת</t>
        </is>
      </c>
    </row>
    <row r="62" ht="15" customHeight="1" s="20">
      <c r="A62" s="30" t="inlineStr">
        <is>
          <t>הליכוד</t>
        </is>
      </c>
      <c r="B62" s="30" t="n">
        <v>15</v>
      </c>
      <c r="C62" s="30" t="inlineStr">
        <is>
          <t>דני דנון</t>
        </is>
      </c>
      <c r="D62" s="30" t="inlineStr">
        <is>
          <t>ז</t>
        </is>
      </c>
      <c r="E62" s="33" t="inlineStr">
        <is>
          <t>חבר/ת כנסת מכהן/ת</t>
        </is>
      </c>
    </row>
    <row r="63" ht="15" customHeight="1" s="20">
      <c r="A63" s="30" t="inlineStr">
        <is>
          <t>הליכוד</t>
        </is>
      </c>
      <c r="B63" s="30" t="n">
        <v>16</v>
      </c>
      <c r="C63" s="30" t="inlineStr">
        <is>
          <t>עדית סילמן</t>
        </is>
      </c>
      <c r="D63" s="30" t="inlineStr">
        <is>
          <t>נ</t>
        </is>
      </c>
      <c r="E63" s="33" t="inlineStr">
        <is>
          <t>חבר/ת כנסת מכהן/ת</t>
        </is>
      </c>
    </row>
    <row r="64" ht="15" customHeight="1" s="20">
      <c r="A64" s="30" t="inlineStr">
        <is>
          <t>הליכוד</t>
        </is>
      </c>
      <c r="B64" s="30" t="n">
        <v>17</v>
      </c>
      <c r="C64" s="30" t="inlineStr">
        <is>
          <t>דוד ביטן</t>
        </is>
      </c>
      <c r="D64" s="30" t="inlineStr">
        <is>
          <t>ז</t>
        </is>
      </c>
      <c r="E64" s="33" t="inlineStr">
        <is>
          <t>חבר/ת כנסת מכהן/ת</t>
        </is>
      </c>
    </row>
    <row r="65" ht="15" customHeight="1" s="20">
      <c r="A65" s="30" t="inlineStr">
        <is>
          <t>הליכוד</t>
        </is>
      </c>
      <c r="B65" s="30" t="n">
        <v>18</v>
      </c>
      <c r="C65" s="30" t="inlineStr">
        <is>
          <t>יולי אדלשטיין</t>
        </is>
      </c>
      <c r="D65" s="30" t="inlineStr">
        <is>
          <t>ז</t>
        </is>
      </c>
      <c r="E65" s="33" t="inlineStr">
        <is>
          <t>חבר/ת כנסת מכהן/ת</t>
        </is>
      </c>
    </row>
    <row r="66" ht="15" customHeight="1" s="20">
      <c r="A66" s="30" t="inlineStr">
        <is>
          <t>הליכוד</t>
        </is>
      </c>
      <c r="B66" s="30" t="n">
        <v>19</v>
      </c>
      <c r="C66" s="30" t="inlineStr">
        <is>
          <t>אליהו רביבו</t>
        </is>
      </c>
      <c r="D66" s="30" t="inlineStr">
        <is>
          <t>ז</t>
        </is>
      </c>
      <c r="E66" s="33" t="inlineStr">
        <is>
          <t>חבר/ת כנסת מכהן/ת</t>
        </is>
      </c>
    </row>
    <row r="67" ht="15" customHeight="1" s="20">
      <c r="A67" s="30" t="inlineStr">
        <is>
          <t>הליכוד</t>
        </is>
      </c>
      <c r="B67" s="30" t="n">
        <v>20</v>
      </c>
      <c r="C67" s="30" t="inlineStr">
        <is>
          <t>גלית דיסטל אטבריאן</t>
        </is>
      </c>
      <c r="D67" s="30" t="inlineStr">
        <is>
          <t>נ</t>
        </is>
      </c>
      <c r="E67" s="33" t="inlineStr">
        <is>
          <t>חבר/ת כנסת מכהן/ת</t>
        </is>
      </c>
    </row>
    <row r="68" ht="15" customHeight="1" s="20">
      <c r="A68" s="30" t="inlineStr">
        <is>
          <t>הליכוד</t>
        </is>
      </c>
      <c r="B68" s="30" t="n">
        <v>21</v>
      </c>
      <c r="C68" s="30" t="inlineStr">
        <is>
          <t>ניסים ואטורי</t>
        </is>
      </c>
      <c r="D68" s="30" t="inlineStr">
        <is>
          <t>ז</t>
        </is>
      </c>
      <c r="E68" s="33" t="inlineStr">
        <is>
          <t>חבר/ת כנסת מכהן/ת</t>
        </is>
      </c>
    </row>
    <row r="69" ht="15" customHeight="1" s="20">
      <c r="A69" s="30" t="inlineStr">
        <is>
          <t>הליכוד</t>
        </is>
      </c>
      <c r="B69" s="30" t="n">
        <v>22</v>
      </c>
      <c r="C69" s="30" t="inlineStr">
        <is>
          <t>שלום דנינו</t>
        </is>
      </c>
      <c r="D69" s="30" t="inlineStr">
        <is>
          <t>ז</t>
        </is>
      </c>
      <c r="E69" s="33" t="inlineStr">
        <is>
          <t>חבר/ת כנסת מכהן/ת</t>
        </is>
      </c>
    </row>
    <row r="70" ht="15" customHeight="1" s="20">
      <c r="A70" s="30" t="inlineStr">
        <is>
          <t>הליכוד</t>
        </is>
      </c>
      <c r="B70" s="30" t="n">
        <v>23</v>
      </c>
      <c r="C70" s="30" t="inlineStr">
        <is>
          <t>חיים כץ</t>
        </is>
      </c>
      <c r="D70" s="30" t="inlineStr">
        <is>
          <t>ז</t>
        </is>
      </c>
      <c r="E70" s="33" t="inlineStr">
        <is>
          <t>חבר/ת כנסת מכהן/ת</t>
        </is>
      </c>
    </row>
    <row r="71" ht="15" customHeight="1" s="20">
      <c r="A71" s="30" t="inlineStr">
        <is>
          <t>הליכוד</t>
        </is>
      </c>
      <c r="B71" s="30" t="n">
        <v>24</v>
      </c>
      <c r="C71" s="30" t="inlineStr">
        <is>
          <t>אופיר אקוניס</t>
        </is>
      </c>
      <c r="D71" s="30" t="inlineStr">
        <is>
          <t>ז</t>
        </is>
      </c>
      <c r="E71" s="33" t="inlineStr">
        <is>
          <t>חבר/ת כנסת מכהן/ת</t>
        </is>
      </c>
    </row>
    <row r="72" ht="15" customHeight="1" s="20">
      <c r="A72" s="30" t="inlineStr">
        <is>
          <t>הציונות הדתית</t>
        </is>
      </c>
      <c r="B72" s="30" t="n">
        <v>1</v>
      </c>
      <c r="C72" s="30" t="inlineStr">
        <is>
          <t>בצלאל סמוטריץ</t>
        </is>
      </c>
      <c r="D72" s="30" t="inlineStr">
        <is>
          <t>ז</t>
        </is>
      </c>
      <c r="E72" s="33" t="inlineStr">
        <is>
          <t>חבר/ת כנסת מכהן/ת (פריימריז צפוי 26.7.2026, סדר עלול להשתנות)</t>
        </is>
      </c>
    </row>
    <row r="73" ht="15" customHeight="1" s="20">
      <c r="A73" s="30" t="inlineStr">
        <is>
          <t>הציונות הדתית</t>
        </is>
      </c>
      <c r="B73" s="30" t="n">
        <v>2</v>
      </c>
      <c r="C73" s="30" t="inlineStr">
        <is>
          <t>אורית סטרוק</t>
        </is>
      </c>
      <c r="D73" s="30" t="inlineStr">
        <is>
          <t>נ</t>
        </is>
      </c>
      <c r="E73" s="33" t="inlineStr">
        <is>
          <t>חבר/ת כנסת מכהן/ת (פריימריז צפוי 26.7.2026, סדר עלול להשתנות)</t>
        </is>
      </c>
    </row>
    <row r="74" ht="15" customHeight="1" s="20">
      <c r="A74" s="30" t="inlineStr">
        <is>
          <t>הציונות הדתית</t>
        </is>
      </c>
      <c r="B74" s="30" t="n">
        <v>3</v>
      </c>
      <c r="C74" s="30" t="inlineStr">
        <is>
          <t>אופיר סופר</t>
        </is>
      </c>
      <c r="D74" s="30" t="inlineStr">
        <is>
          <t>ז</t>
        </is>
      </c>
      <c r="E74" s="33" t="inlineStr">
        <is>
          <t>חבר/ת כנסת מכהן/ת (פריימריז צפוי 26.7.2026, סדר עלול להשתנות)</t>
        </is>
      </c>
    </row>
    <row r="75" ht="15" customHeight="1" s="20">
      <c r="A75" s="30" t="inlineStr">
        <is>
          <t>הציונות הדתית</t>
        </is>
      </c>
      <c r="B75" s="30" t="n">
        <v>4</v>
      </c>
      <c r="C75" s="30" t="inlineStr">
        <is>
          <t>מיכל וולדיגר</t>
        </is>
      </c>
      <c r="D75" s="30" t="inlineStr">
        <is>
          <t>נ</t>
        </is>
      </c>
      <c r="E75" s="33" t="inlineStr">
        <is>
          <t>חבר/ת כנסת מכהן/ת (פריימריז צפוי 26.7.2026, סדר עלול להשתנות)</t>
        </is>
      </c>
    </row>
    <row r="76" ht="15" customHeight="1" s="20">
      <c r="A76" s="30" t="inlineStr">
        <is>
          <t>הציונות הדתית</t>
        </is>
      </c>
      <c r="B76" s="30" t="n">
        <v>5</v>
      </c>
      <c r="C76" s="30" t="inlineStr">
        <is>
          <t>אוהד טל</t>
        </is>
      </c>
      <c r="D76" s="30" t="inlineStr">
        <is>
          <t>ז</t>
        </is>
      </c>
      <c r="E76" s="33" t="inlineStr">
        <is>
          <t>חבר/ת כנסת מכהן/ת (פריימריז צפוי 26.7.2026, סדר עלול להשתנות)</t>
        </is>
      </c>
    </row>
    <row r="77" ht="15" customHeight="1" s="20">
      <c r="A77" s="30" t="inlineStr">
        <is>
          <t>חדש תע"ל</t>
        </is>
      </c>
      <c r="B77" s="30" t="n">
        <v>1</v>
      </c>
      <c r="C77" s="30" t="inlineStr">
        <is>
          <t>יוסף ג'בארין</t>
        </is>
      </c>
      <c r="D77" s="30" t="inlineStr">
        <is>
          <t>ז</t>
        </is>
      </c>
      <c r="E77" s="33" t="inlineStr">
        <is>
          <t>רשימה רשמית (אתר חד"ש) + טיבי הוכנס במיקום 2 לבקשת המשתמש - hadash.org.il/list</t>
        </is>
      </c>
    </row>
    <row r="78" ht="15" customHeight="1" s="20">
      <c r="A78" s="30" t="inlineStr">
        <is>
          <t>חדש תע"ל</t>
        </is>
      </c>
      <c r="B78" s="30" t="n">
        <v>2</v>
      </c>
      <c r="C78" s="30" t="inlineStr">
        <is>
          <t>אחמד טיבי</t>
        </is>
      </c>
      <c r="D78" s="30" t="inlineStr">
        <is>
          <t>ז</t>
        </is>
      </c>
      <c r="E78" s="33" t="inlineStr">
        <is>
          <t>תע"ל - הוכנס ידנית במיקום 2 לפי בקשת המשתמש</t>
        </is>
      </c>
    </row>
    <row r="79" ht="15" customHeight="1" s="20">
      <c r="A79" s="30" t="inlineStr">
        <is>
          <t>חדש תע"ל</t>
        </is>
      </c>
      <c r="B79" s="30" t="n">
        <v>3</v>
      </c>
      <c r="C79" s="30" t="inlineStr">
        <is>
          <t>ג'עפר פרח</t>
        </is>
      </c>
      <c r="D79" s="30" t="inlineStr">
        <is>
          <t>ז</t>
        </is>
      </c>
      <c r="E79" s="33" t="inlineStr">
        <is>
          <t>רשימה רשמית (אתר חד"ש) + טיבי הוכנס במיקום 2 לבקשת המשתמש - hadash.org.il/list</t>
        </is>
      </c>
    </row>
    <row r="80" ht="15" customHeight="1" s="20">
      <c r="A80" s="30" t="inlineStr">
        <is>
          <t>חדש תע"ל</t>
        </is>
      </c>
      <c r="B80" s="30" t="n">
        <v>4</v>
      </c>
      <c r="C80" s="30" t="inlineStr">
        <is>
          <t>עופר כסיף</t>
        </is>
      </c>
      <c r="D80" s="30" t="inlineStr">
        <is>
          <t>ז</t>
        </is>
      </c>
      <c r="E80" s="33" t="inlineStr">
        <is>
          <t>רשימה רשמית (אתר חד"ש) + טיבי הוכנס במיקום 2 לבקשת המשתמש - hadash.org.il/list</t>
        </is>
      </c>
    </row>
    <row r="81" ht="15" customHeight="1" s="20">
      <c r="A81" s="30" t="inlineStr">
        <is>
          <t>חדש תע"ל</t>
        </is>
      </c>
      <c r="B81" s="30" t="n">
        <v>5</v>
      </c>
      <c r="C81" s="30" t="inlineStr">
        <is>
          <t>יוסף עטאונה</t>
        </is>
      </c>
      <c r="D81" s="30" t="inlineStr">
        <is>
          <t>ז</t>
        </is>
      </c>
      <c r="E81" s="33" t="inlineStr">
        <is>
          <t>רשימה רשמית (אתר חד"ש) + טיבי הוכנס במיקום 2 לבקשת המשתמש - hadash.org.il/list</t>
        </is>
      </c>
    </row>
    <row r="82" ht="15" customHeight="1" s="20">
      <c r="A82" s="30" t="inlineStr">
        <is>
          <t>חדש תע"ל</t>
        </is>
      </c>
      <c r="B82" s="30" t="n">
        <v>6</v>
      </c>
      <c r="C82" s="30" t="inlineStr">
        <is>
          <t>נהאיה ושאחי</t>
        </is>
      </c>
      <c r="D82" s="30" t="inlineStr">
        <is>
          <t>נ</t>
        </is>
      </c>
      <c r="E82" s="33" t="inlineStr">
        <is>
          <t>רשימה רשמית (אתר חד"ש) + טיבי הוכנס במיקום 2 לבקשת המשתמש - hadash.org.il/list</t>
        </is>
      </c>
    </row>
    <row r="83" ht="15" customHeight="1" s="20">
      <c r="A83" s="30" t="inlineStr">
        <is>
          <t>חדש תע"ל</t>
        </is>
      </c>
      <c r="B83" s="30" t="n">
        <v>7</v>
      </c>
      <c r="C83" s="30" t="inlineStr">
        <is>
          <t>איאס נאטור</t>
        </is>
      </c>
      <c r="D83" s="30" t="inlineStr">
        <is>
          <t>ז</t>
        </is>
      </c>
      <c r="E83" s="33" t="inlineStr">
        <is>
          <t>רשימת חד"ש הרשמית (hadash.org.il/list), מיקום 7 - מחוץ ל-6 המנדטים הצפויים</t>
        </is>
      </c>
    </row>
    <row r="84" ht="15" customHeight="1" s="20">
      <c r="A84" s="30" t="inlineStr">
        <is>
          <t>יהדות התורה</t>
        </is>
      </c>
      <c r="B84" s="30" t="n">
        <v>1</v>
      </c>
      <c r="C84" s="30" t="inlineStr">
        <is>
          <t>יצחק גולדקנופף</t>
        </is>
      </c>
      <c r="D84" s="30" t="inlineStr">
        <is>
          <t>ז</t>
        </is>
      </c>
      <c r="E84" s="33" t="inlineStr">
        <is>
          <t>חבר/ת כנסת מכהן/ת (מפלגה חד-מגדרית באופן היסטורי)</t>
        </is>
      </c>
    </row>
    <row r="85" ht="15" customHeight="1" s="20">
      <c r="A85" s="30" t="inlineStr">
        <is>
          <t>יהדות התורה</t>
        </is>
      </c>
      <c r="B85" s="30" t="n">
        <v>2</v>
      </c>
      <c r="C85" s="30" t="inlineStr">
        <is>
          <t>משה גפני</t>
        </is>
      </c>
      <c r="D85" s="30" t="inlineStr">
        <is>
          <t>ז</t>
        </is>
      </c>
      <c r="E85" s="33" t="inlineStr">
        <is>
          <t>חבר/ת כנסת מכהן/ת (מפלגה חד-מגדרית באופן היסטורי)</t>
        </is>
      </c>
    </row>
    <row r="86" ht="15" customHeight="1" s="20">
      <c r="A86" s="30" t="inlineStr">
        <is>
          <t>יהדות התורה</t>
        </is>
      </c>
      <c r="B86" s="30" t="n">
        <v>3</v>
      </c>
      <c r="C86" s="30" t="inlineStr">
        <is>
          <t>מאיר פרוש</t>
        </is>
      </c>
      <c r="D86" s="30" t="inlineStr">
        <is>
          <t>ז</t>
        </is>
      </c>
      <c r="E86" s="33" t="inlineStr">
        <is>
          <t>חבר/ת כנסת מכהן/ת (מפלגה חד-מגדרית באופן היסטורי)</t>
        </is>
      </c>
    </row>
    <row r="87" ht="15" customHeight="1" s="20">
      <c r="A87" s="30" t="inlineStr">
        <is>
          <t>יהדות התורה</t>
        </is>
      </c>
      <c r="B87" s="30" t="n">
        <v>4</v>
      </c>
      <c r="C87" s="30" t="inlineStr">
        <is>
          <t>יצחק פינדרוס</t>
        </is>
      </c>
      <c r="D87" s="30" t="inlineStr">
        <is>
          <t>ז</t>
        </is>
      </c>
      <c r="E87" s="33" t="inlineStr">
        <is>
          <t>חבר/ת כנסת מכהן/ת (מפלגה חד-מגדרית באופן היסטורי)</t>
        </is>
      </c>
    </row>
    <row r="88" ht="15" customHeight="1" s="20">
      <c r="A88" s="30" t="inlineStr">
        <is>
          <t>יהדות התורה</t>
        </is>
      </c>
      <c r="B88" s="30" t="n">
        <v>5</v>
      </c>
      <c r="C88" s="30" t="inlineStr">
        <is>
          <t>ישראל אייכלר</t>
        </is>
      </c>
      <c r="D88" s="30" t="inlineStr">
        <is>
          <t>ז</t>
        </is>
      </c>
      <c r="E88" s="33" t="inlineStr">
        <is>
          <t>חבר/ת כנסת מכהן/ת (מפלגה חד-מגדרית באופן היסטורי)</t>
        </is>
      </c>
    </row>
    <row r="89" ht="15" customHeight="1" s="20">
      <c r="A89" s="30" t="inlineStr">
        <is>
          <t>יהדות התורה</t>
        </is>
      </c>
      <c r="B89" s="30" t="n">
        <v>6</v>
      </c>
      <c r="C89" s="30" t="inlineStr">
        <is>
          <t>אורי מקלב</t>
        </is>
      </c>
      <c r="D89" s="30" t="inlineStr">
        <is>
          <t>ז</t>
        </is>
      </c>
      <c r="E89" s="33" t="inlineStr">
        <is>
          <t>חבר/ת כנסת מכהן/ת (מפלגה חד-מגדרית באופן היסטורי)</t>
        </is>
      </c>
    </row>
    <row r="90" ht="15" customHeight="1" s="20">
      <c r="A90" s="30" t="inlineStr">
        <is>
          <t>יהדות התורה</t>
        </is>
      </c>
      <c r="B90" s="30" t="n">
        <v>7</v>
      </c>
      <c r="C90" s="30" t="inlineStr">
        <is>
          <t>יעקב אשר</t>
        </is>
      </c>
      <c r="D90" s="30" t="inlineStr">
        <is>
          <t>ז</t>
        </is>
      </c>
      <c r="E90" s="33" t="inlineStr">
        <is>
          <t>חבר/ת כנסת מכהן/ת (מפלגה חד-מגדרית באופן היסטורי)</t>
        </is>
      </c>
    </row>
    <row r="91" ht="15" customHeight="1" s="20">
      <c r="A91" s="30" t="inlineStr">
        <is>
          <t>יהדות התורה</t>
        </is>
      </c>
      <c r="B91" s="30" t="n">
        <v>8</v>
      </c>
      <c r="C91" s="30" t="inlineStr">
        <is>
          <t>(לא אותר - משוער זכר לפי היסטוריית המפלגה)</t>
        </is>
      </c>
      <c r="D91" s="30" t="inlineStr">
        <is>
          <t>ז</t>
        </is>
      </c>
      <c r="E91" s="33" t="inlineStr">
        <is>
          <t>לא אותר מועמד - נתון חסר</t>
        </is>
      </c>
    </row>
    <row r="92" ht="15" customHeight="1" s="20">
      <c r="A92" s="30" t="inlineStr">
        <is>
          <t>ישר!</t>
        </is>
      </c>
      <c r="B92" s="30" t="n">
        <v>1</v>
      </c>
      <c r="C92" s="30" t="inlineStr">
        <is>
          <t>גדי איזנקוט</t>
        </is>
      </c>
      <c r="D92" s="30" t="inlineStr">
        <is>
          <t>ז</t>
        </is>
      </c>
      <c r="E92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3" ht="15" customHeight="1" s="20">
      <c r="A93" s="30" t="inlineStr">
        <is>
          <t>ישר!</t>
        </is>
      </c>
      <c r="B93" s="30" t="n">
        <v>2</v>
      </c>
      <c r="C93" s="30" t="inlineStr">
        <is>
          <t>כמיל אבו רוקן</t>
        </is>
      </c>
      <c r="D93" s="30" t="inlineStr">
        <is>
          <t>ז</t>
        </is>
      </c>
      <c r="E93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4" ht="15" customHeight="1" s="20">
      <c r="A94" s="30" t="inlineStr">
        <is>
          <t>ישר!</t>
        </is>
      </c>
      <c r="B94" s="30" t="n">
        <v>3</v>
      </c>
      <c r="C94" s="30" t="inlineStr">
        <is>
          <t>תאיר איפרגן</t>
        </is>
      </c>
      <c r="D94" s="30" t="inlineStr">
        <is>
          <t>נ</t>
        </is>
      </c>
      <c r="E94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5" ht="15" customHeight="1" s="20">
      <c r="A95" s="30" t="inlineStr">
        <is>
          <t>ישר!</t>
        </is>
      </c>
      <c r="B95" s="30" t="n">
        <v>4</v>
      </c>
      <c r="C95" s="30" t="inlineStr">
        <is>
          <t>ענבר הרוש גיטי</t>
        </is>
      </c>
      <c r="D95" s="30" t="inlineStr">
        <is>
          <t>נ</t>
        </is>
      </c>
      <c r="E95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6" ht="15" customHeight="1" s="20">
      <c r="A96" s="30" t="inlineStr">
        <is>
          <t>ישר!</t>
        </is>
      </c>
      <c r="B96" s="30" t="n">
        <v>5</v>
      </c>
      <c r="C96" s="30" t="inlineStr">
        <is>
          <t>ענבר יחזקאלי</t>
        </is>
      </c>
      <c r="D96" s="30" t="inlineStr">
        <is>
          <t>נ</t>
        </is>
      </c>
      <c r="E96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7" ht="15" customHeight="1" s="20">
      <c r="A97" s="30" t="inlineStr">
        <is>
          <t>ישר!</t>
        </is>
      </c>
      <c r="B97" s="30" t="n">
        <v>6</v>
      </c>
      <c r="C97" s="30" t="inlineStr">
        <is>
          <t>יורם כהן</t>
        </is>
      </c>
      <c r="D97" s="30" t="inlineStr">
        <is>
          <t>ז</t>
        </is>
      </c>
      <c r="E97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8" ht="15" customHeight="1" s="20">
      <c r="A98" s="30" t="inlineStr">
        <is>
          <t>ישר!</t>
        </is>
      </c>
      <c r="B98" s="30" t="n">
        <v>7</v>
      </c>
      <c r="C98" s="30" t="inlineStr">
        <is>
          <t>מתן כהנא</t>
        </is>
      </c>
      <c r="D98" s="30" t="inlineStr">
        <is>
          <t>ז</t>
        </is>
      </c>
      <c r="E98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99" ht="15" customHeight="1" s="20">
      <c r="A99" s="30" t="inlineStr">
        <is>
          <t>ישר!</t>
        </is>
      </c>
      <c r="B99" s="30" t="n">
        <v>8</v>
      </c>
      <c r="C99" s="30" t="inlineStr">
        <is>
          <t>שאול מרידור</t>
        </is>
      </c>
      <c r="D99" s="30" t="inlineStr">
        <is>
          <t>ז</t>
        </is>
      </c>
      <c r="E99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0" ht="15" customHeight="1" s="20">
      <c r="A100" s="30" t="inlineStr">
        <is>
          <t>ישר!</t>
        </is>
      </c>
      <c r="B100" s="30" t="n">
        <v>9</v>
      </c>
      <c r="C100" s="30" t="inlineStr">
        <is>
          <t>אורית פרקש הכהן</t>
        </is>
      </c>
      <c r="D100" s="30" t="inlineStr">
        <is>
          <t>נ</t>
        </is>
      </c>
      <c r="E100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1" ht="15" customHeight="1" s="20">
      <c r="A101" s="30" t="inlineStr">
        <is>
          <t>ישר!</t>
        </is>
      </c>
      <c r="B101" s="30" t="n">
        <v>10</v>
      </c>
      <c r="C101" s="30" t="inlineStr">
        <is>
          <t>אלכס ריף</t>
        </is>
      </c>
      <c r="D101" s="30" t="inlineStr">
        <is>
          <t>נ</t>
        </is>
      </c>
      <c r="E101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2" ht="15" customHeight="1" s="20">
      <c r="A102" s="30" t="inlineStr">
        <is>
          <t>ישר!</t>
        </is>
      </c>
      <c r="B102" s="30" t="n">
        <v>11</v>
      </c>
      <c r="C102" s="30" t="inlineStr">
        <is>
          <t>דבורה שריפיאן בכר</t>
        </is>
      </c>
      <c r="D102" s="30" t="inlineStr">
        <is>
          <t>נ</t>
        </is>
      </c>
      <c r="E102" s="33" t="inlineStr">
        <is>
          <t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      </is>
      </c>
    </row>
    <row r="103" ht="15" customHeight="1" s="20">
      <c r="A103" s="30" t="inlineStr">
        <is>
          <t>ישראל ביתנו</t>
        </is>
      </c>
      <c r="B103" s="30" t="n">
        <v>1</v>
      </c>
      <c r="C103" s="30" t="inlineStr">
        <is>
          <t>אביגדור ליברמן</t>
        </is>
      </c>
      <c r="D103" s="30" t="inlineStr">
        <is>
          <t>ז</t>
        </is>
      </c>
      <c r="E103" s="33" t="inlineStr">
        <is>
          <t>חבר/ת כנסת מכהן/ת</t>
        </is>
      </c>
    </row>
    <row r="104" ht="15" customHeight="1" s="20">
      <c r="A104" s="30" t="inlineStr">
        <is>
          <t>ישראל ביתנו</t>
        </is>
      </c>
      <c r="B104" s="30" t="n">
        <v>2</v>
      </c>
      <c r="C104" s="30" t="inlineStr">
        <is>
          <t>עודד פורר</t>
        </is>
      </c>
      <c r="D104" s="30" t="inlineStr">
        <is>
          <t>ז</t>
        </is>
      </c>
      <c r="E104" s="33" t="inlineStr">
        <is>
          <t>חבר/ת כנסת מכהן/ת</t>
        </is>
      </c>
    </row>
    <row r="105" ht="15" customHeight="1" s="20">
      <c r="A105" s="30" t="inlineStr">
        <is>
          <t>ישראל ביתנו</t>
        </is>
      </c>
      <c r="B105" s="30" t="n">
        <v>3</v>
      </c>
      <c r="C105" s="30" t="inlineStr">
        <is>
          <t>יבגני סוב</t>
        </is>
      </c>
      <c r="D105" s="30" t="inlineStr">
        <is>
          <t>ז</t>
        </is>
      </c>
      <c r="E105" s="33" t="inlineStr">
        <is>
          <t>חבר/ת כנסת מכהן/ת</t>
        </is>
      </c>
    </row>
    <row r="106" ht="15" customHeight="1" s="20">
      <c r="A106" s="30" t="inlineStr">
        <is>
          <t>ישראל ביתנו</t>
        </is>
      </c>
      <c r="B106" s="30" t="n">
        <v>4</v>
      </c>
      <c r="C106" s="30" t="inlineStr">
        <is>
          <t>שרון ניר</t>
        </is>
      </c>
      <c r="D106" s="30" t="inlineStr">
        <is>
          <t>ז</t>
        </is>
      </c>
      <c r="E106" s="33" t="inlineStr">
        <is>
          <t>חבר/ת כנסת מכהן/ת (שם unisex, מגדר לא ודאי)</t>
        </is>
      </c>
    </row>
    <row r="107" ht="15" customHeight="1" s="20">
      <c r="A107" s="30" t="inlineStr">
        <is>
          <t>ישראל ביתנו</t>
        </is>
      </c>
      <c r="B107" s="30" t="n">
        <v>5</v>
      </c>
      <c r="C107" s="30" t="inlineStr">
        <is>
          <t>יוליה מלינובסקי</t>
        </is>
      </c>
      <c r="D107" s="30" t="inlineStr">
        <is>
          <t>נ</t>
        </is>
      </c>
      <c r="E107" s="33" t="inlineStr">
        <is>
          <t>חבר/ת כנסת מכהן/ת</t>
        </is>
      </c>
    </row>
    <row r="108" ht="15" customHeight="1" s="20">
      <c r="A108" s="30" t="inlineStr">
        <is>
          <t>ישראל ביתנו</t>
        </is>
      </c>
      <c r="B108" s="30" t="n">
        <v>6</v>
      </c>
      <c r="C108" s="30" t="inlineStr">
        <is>
          <t>חמד עמאר</t>
        </is>
      </c>
      <c r="D108" s="30" t="inlineStr">
        <is>
          <t>ז</t>
        </is>
      </c>
      <c r="E108" s="33" t="inlineStr">
        <is>
          <t>חבר/ת כנסת מכהן/ת</t>
        </is>
      </c>
    </row>
    <row r="109" ht="15" customHeight="1" s="20">
      <c r="A109" s="30" t="inlineStr">
        <is>
          <t>ישראל ביתנו</t>
        </is>
      </c>
      <c r="B109" s="30" t="n">
        <v>7</v>
      </c>
      <c r="C109" s="30" t="inlineStr">
        <is>
          <t>גיל סגל</t>
        </is>
      </c>
      <c r="D109" s="30" t="inlineStr">
        <is>
          <t>ז</t>
        </is>
      </c>
      <c r="E109" s="33" t="inlineStr">
        <is>
          <t>דווח בתקשורת, סדר לא ידוע - מיקום משוער</t>
        </is>
      </c>
    </row>
    <row r="110" ht="15" customHeight="1" s="20">
      <c r="A110" s="30" t="inlineStr">
        <is>
          <t>ישראל ביתנו</t>
        </is>
      </c>
      <c r="B110" s="30" t="n">
        <v>8</v>
      </c>
      <c r="C110" s="30" t="inlineStr">
        <is>
          <t>דוד אזולאי</t>
        </is>
      </c>
      <c r="D110" s="30" t="inlineStr">
        <is>
          <t>ז</t>
        </is>
      </c>
      <c r="E110" s="33" t="inlineStr">
        <is>
          <t>דווח בתקשורת, סדר לא ידוע - מיקום משוער</t>
        </is>
      </c>
    </row>
    <row r="111" ht="15" customHeight="1" s="20">
      <c r="A111" s="30" t="inlineStr">
        <is>
          <t>ישראל ביתנו</t>
        </is>
      </c>
      <c r="B111" s="30" t="n">
        <v>9</v>
      </c>
      <c r="C111" s="30" t="inlineStr">
        <is>
          <t>יוסי ברודני</t>
        </is>
      </c>
      <c r="D111" s="30" t="inlineStr">
        <is>
          <t>ז</t>
        </is>
      </c>
      <c r="E111" s="33" t="inlineStr">
        <is>
          <t>דווח בתקשורת, סדר לא ידוע - מיקום משוער</t>
        </is>
      </c>
    </row>
    <row r="112" ht="15" customHeight="1" s="20">
      <c r="A112" s="30" t="inlineStr">
        <is>
          <t>עוצמה יהודית</t>
        </is>
      </c>
      <c r="B112" s="30" t="n">
        <v>1</v>
      </c>
      <c r="C112" s="30" t="inlineStr">
        <is>
          <t>איתמר בן גביר</t>
        </is>
      </c>
      <c r="D112" s="30" t="inlineStr">
        <is>
          <t>ז</t>
        </is>
      </c>
      <c r="E112" s="33" t="inlineStr">
        <is>
          <t>חבר/ת כנסת מכהן/ת</t>
        </is>
      </c>
    </row>
    <row r="113" ht="15" customHeight="1" s="20">
      <c r="A113" s="30" t="inlineStr">
        <is>
          <t>עוצמה יהודית</t>
        </is>
      </c>
      <c r="B113" s="30" t="n">
        <v>2</v>
      </c>
      <c r="C113" s="30" t="inlineStr">
        <is>
          <t>יצחק וסרלאוף</t>
        </is>
      </c>
      <c r="D113" s="30" t="inlineStr">
        <is>
          <t>ז</t>
        </is>
      </c>
      <c r="E113" s="33" t="inlineStr">
        <is>
          <t>חבר/ת כנסת מכהן/ת</t>
        </is>
      </c>
    </row>
    <row r="114" ht="15" customHeight="1" s="20">
      <c r="A114" s="30" t="inlineStr">
        <is>
          <t>עוצמה יהודית</t>
        </is>
      </c>
      <c r="B114" s="30" t="n">
        <v>3</v>
      </c>
      <c r="C114" s="30" t="inlineStr">
        <is>
          <t>אלמוג כהן</t>
        </is>
      </c>
      <c r="D114" s="30" t="inlineStr">
        <is>
          <t>ז</t>
        </is>
      </c>
      <c r="E114" s="33" t="inlineStr">
        <is>
          <t>חבר/ת כנסת מכהן/ת</t>
        </is>
      </c>
    </row>
    <row r="115" ht="15" customHeight="1" s="20">
      <c r="A115" s="30" t="inlineStr">
        <is>
          <t>עוצמה יהודית</t>
        </is>
      </c>
      <c r="B115" s="30" t="n">
        <v>4</v>
      </c>
      <c r="C115" s="30" t="inlineStr">
        <is>
          <t>עמיחי אליהו</t>
        </is>
      </c>
      <c r="D115" s="30" t="inlineStr">
        <is>
          <t>ז</t>
        </is>
      </c>
      <c r="E115" s="33" t="inlineStr">
        <is>
          <t>חבר/ת כנסת מכהן/ת</t>
        </is>
      </c>
    </row>
    <row r="116" ht="15" customHeight="1" s="20">
      <c r="A116" s="30" t="inlineStr">
        <is>
          <t>עוצמה יהודית</t>
        </is>
      </c>
      <c r="B116" s="30" t="n">
        <v>5</v>
      </c>
      <c r="C116" s="30" t="inlineStr">
        <is>
          <t>צביקה פוגל</t>
        </is>
      </c>
      <c r="D116" s="30" t="inlineStr">
        <is>
          <t>ז</t>
        </is>
      </c>
      <c r="E116" s="33" t="inlineStr">
        <is>
          <t>חבר/ת כנסת מכהן/ת</t>
        </is>
      </c>
    </row>
    <row r="117" ht="15" customHeight="1" s="20">
      <c r="A117" s="30" t="inlineStr">
        <is>
          <t>עוצמה יהודית</t>
        </is>
      </c>
      <c r="B117" s="30" t="n">
        <v>6</v>
      </c>
      <c r="C117" s="30" t="inlineStr">
        <is>
          <t>לימור סון הר-מלך</t>
        </is>
      </c>
      <c r="D117" s="30" t="inlineStr">
        <is>
          <t>נ</t>
        </is>
      </c>
      <c r="E117" s="33" t="inlineStr">
        <is>
          <t>חבר/ת כנסת מכהן/ת</t>
        </is>
      </c>
    </row>
    <row r="118" ht="15" customHeight="1" s="20">
      <c r="A118" s="30" t="inlineStr">
        <is>
          <t>עוצמה יהודית</t>
        </is>
      </c>
      <c r="B118" s="30" t="n">
        <v>7</v>
      </c>
      <c r="C118" s="30" t="inlineStr">
        <is>
          <t>יצחק קרויזר</t>
        </is>
      </c>
      <c r="D118" s="30" t="inlineStr">
        <is>
          <t>ז</t>
        </is>
      </c>
      <c r="E118" s="33" t="inlineStr">
        <is>
          <t>חבר/ת כנסת מכהן/ת</t>
        </is>
      </c>
    </row>
    <row r="119" ht="15" customHeight="1" s="20">
      <c r="A119" s="30" t="inlineStr">
        <is>
          <t>עוצמה יהודית</t>
        </is>
      </c>
      <c r="B119" s="30" t="n">
        <v>8</v>
      </c>
      <c r="C119" s="30" t="inlineStr">
        <is>
          <t>(לא אותר מועמד)</t>
        </is>
      </c>
      <c r="D119" s="30" t="n"/>
      <c r="E119" s="33" t="inlineStr">
        <is>
          <t>לא אותר מועמד - נתון חסר</t>
        </is>
      </c>
    </row>
    <row r="120" ht="15" customHeight="1" s="20">
      <c r="A120" s="30" t="inlineStr">
        <is>
          <t>רע"מ</t>
        </is>
      </c>
      <c r="B120" s="30" t="n">
        <v>1</v>
      </c>
      <c r="C120" s="30" t="inlineStr">
        <is>
          <t>מנסור עבאס</t>
        </is>
      </c>
      <c r="D120" s="30" t="inlineStr">
        <is>
          <t>ז</t>
        </is>
      </c>
      <c r="E120" s="33" t="inlineStr">
        <is>
          <t>חבר/ת כנסת מכהן/ת</t>
        </is>
      </c>
    </row>
    <row r="121" ht="15" customHeight="1" s="20">
      <c r="A121" s="30" t="inlineStr">
        <is>
          <t>רע"מ</t>
        </is>
      </c>
      <c r="B121" s="30" t="n">
        <v>2</v>
      </c>
      <c r="C121" s="30" t="inlineStr">
        <is>
          <t>יואב סגלוביץ'</t>
        </is>
      </c>
      <c r="D121" s="30" t="inlineStr">
        <is>
          <t>ז</t>
        </is>
      </c>
      <c r="E121" s="33" t="inlineStr">
        <is>
          <t>מצטרף לרשימת רע"מ במיקום 2 - עודכן לפי בקשת המשתמש (לשעבר חבר כנסת ביש עתיד/ביחד)</t>
        </is>
      </c>
    </row>
    <row r="122" ht="15" customHeight="1" s="20">
      <c r="A122" s="30" t="inlineStr">
        <is>
          <t>רע"מ</t>
        </is>
      </c>
      <c r="B122" s="30" t="n">
        <v>3</v>
      </c>
      <c r="C122" s="30" t="inlineStr">
        <is>
          <t>וליד טאהא</t>
        </is>
      </c>
      <c r="D122" s="30" t="inlineStr">
        <is>
          <t>ז</t>
        </is>
      </c>
      <c r="E122" s="33" t="inlineStr">
        <is>
          <t>חבר/ת כנסת מכהן/ת</t>
        </is>
      </c>
    </row>
    <row r="123" ht="15" customHeight="1" s="20">
      <c r="A123" s="30" t="inlineStr">
        <is>
          <t>רע"מ</t>
        </is>
      </c>
      <c r="B123" s="30" t="n">
        <v>4</v>
      </c>
      <c r="C123" s="30" t="inlineStr">
        <is>
          <t>וליד אלהואשלה</t>
        </is>
      </c>
      <c r="D123" s="30" t="inlineStr">
        <is>
          <t>ז</t>
        </is>
      </c>
      <c r="E123" s="33" t="inlineStr">
        <is>
          <t>חבר/ת כנסת מכהן/ת</t>
        </is>
      </c>
    </row>
    <row r="124" ht="15" customHeight="1" s="20">
      <c r="A124" s="30" t="inlineStr">
        <is>
          <t>רע"מ</t>
        </is>
      </c>
      <c r="B124" s="30" t="n">
        <v>5</v>
      </c>
      <c r="C124" s="30" t="inlineStr">
        <is>
          <t>אימאן ח'טיב יאסין</t>
        </is>
      </c>
      <c r="D124" s="30" t="inlineStr">
        <is>
          <t>נ</t>
        </is>
      </c>
      <c r="E124" s="33" t="inlineStr">
        <is>
          <t>חבר/ת כנסת מכהן/ת</t>
        </is>
      </c>
    </row>
    <row r="125" ht="15" customHeight="1" s="20">
      <c r="A125" s="30" t="inlineStr">
        <is>
          <t>רע"מ</t>
        </is>
      </c>
      <c r="B125" s="30" t="n">
        <v>6</v>
      </c>
      <c r="C125" s="30" t="inlineStr">
        <is>
          <t>יאסר חוג'יראת</t>
        </is>
      </c>
      <c r="D125" s="30" t="inlineStr">
        <is>
          <t>ז</t>
        </is>
      </c>
      <c r="E125" s="33" t="inlineStr">
        <is>
          <t>חבר/ת כנסת מכהן/ת (מושב חמישי לא ודאי)</t>
        </is>
      </c>
    </row>
    <row r="126" ht="15" customHeight="1" s="20">
      <c r="A126" s="30" t="inlineStr">
        <is>
          <t>ש"ס</t>
        </is>
      </c>
      <c r="B126" s="30" t="n">
        <v>1</v>
      </c>
      <c r="C126" s="30" t="inlineStr">
        <is>
          <t>אריה דרעי</t>
        </is>
      </c>
      <c r="D126" s="30" t="inlineStr">
        <is>
          <t>ז</t>
        </is>
      </c>
      <c r="E126" s="33" t="inlineStr">
        <is>
          <t>חבר/ת כנסת מכהן/ת (מפלגה חד-מגדרית באופן היסטורי)</t>
        </is>
      </c>
    </row>
    <row r="127" ht="15" customHeight="1" s="20">
      <c r="A127" s="30" t="inlineStr">
        <is>
          <t>ש"ס</t>
        </is>
      </c>
      <c r="B127" s="30" t="n">
        <v>2</v>
      </c>
      <c r="C127" s="30" t="inlineStr">
        <is>
          <t>יעקב מרגי</t>
        </is>
      </c>
      <c r="D127" s="30" t="inlineStr">
        <is>
          <t>ז</t>
        </is>
      </c>
      <c r="E127" s="33" t="inlineStr">
        <is>
          <t>חבר/ת כנסת מכהן/ת (מפלגה חד-מגדרית באופן היסטורי)</t>
        </is>
      </c>
    </row>
    <row r="128" ht="15" customHeight="1" s="20">
      <c r="A128" s="30" t="inlineStr">
        <is>
          <t>ש"ס</t>
        </is>
      </c>
      <c r="B128" s="30" t="n">
        <v>3</v>
      </c>
      <c r="C128" s="30" t="inlineStr">
        <is>
          <t>יואב בן צור</t>
        </is>
      </c>
      <c r="D128" s="30" t="inlineStr">
        <is>
          <t>ז</t>
        </is>
      </c>
      <c r="E128" s="33" t="inlineStr">
        <is>
          <t>חבר/ת כנסת מכהן/ת (מפלגה חד-מגדרית באופן היסטורי)</t>
        </is>
      </c>
    </row>
    <row r="129" ht="15" customHeight="1" s="20">
      <c r="A129" s="30" t="inlineStr">
        <is>
          <t>ש"ס</t>
        </is>
      </c>
      <c r="B129" s="30" t="n">
        <v>4</v>
      </c>
      <c r="C129" s="30" t="inlineStr">
        <is>
          <t>מיכאל מלכיאלי</t>
        </is>
      </c>
      <c r="D129" s="30" t="inlineStr">
        <is>
          <t>ז</t>
        </is>
      </c>
      <c r="E129" s="33" t="inlineStr">
        <is>
          <t>חבר/ת כנסת מכהן/ת (מפלגה חד-מגדרית באופן היסטורי)</t>
        </is>
      </c>
    </row>
    <row r="130" ht="15" customHeight="1" s="20">
      <c r="A130" s="30" t="inlineStr">
        <is>
          <t>ש"ס</t>
        </is>
      </c>
      <c r="B130" s="30" t="n">
        <v>5</v>
      </c>
      <c r="C130" s="30" t="inlineStr">
        <is>
          <t>חיים ביטון</t>
        </is>
      </c>
      <c r="D130" s="30" t="inlineStr">
        <is>
          <t>ז</t>
        </is>
      </c>
      <c r="E130" s="33" t="inlineStr">
        <is>
          <t>חבר/ת כנסת מכהן/ת (מפלגה חד-מגדרית באופן היסטורי)</t>
        </is>
      </c>
    </row>
    <row r="131" ht="15" customHeight="1" s="20">
      <c r="A131" s="30" t="inlineStr">
        <is>
          <t>ש"ס</t>
        </is>
      </c>
      <c r="B131" s="30" t="n">
        <v>6</v>
      </c>
      <c r="C131" s="30" t="inlineStr">
        <is>
          <t>משה ארבל</t>
        </is>
      </c>
      <c r="D131" s="30" t="inlineStr">
        <is>
          <t>ז</t>
        </is>
      </c>
      <c r="E131" s="33" t="inlineStr">
        <is>
          <t>חבר/ת כנסת מכהן/ת (מפלגה חד-מגדרית באופן היסטורי)</t>
        </is>
      </c>
    </row>
    <row r="132" ht="15" customHeight="1" s="20">
      <c r="A132" s="30" t="inlineStr">
        <is>
          <t>ש"ס</t>
        </is>
      </c>
      <c r="B132" s="30" t="n">
        <v>7</v>
      </c>
      <c r="C132" s="30" t="inlineStr">
        <is>
          <t>ינון אזולאי</t>
        </is>
      </c>
      <c r="D132" s="30" t="inlineStr">
        <is>
          <t>ז</t>
        </is>
      </c>
      <c r="E132" s="33" t="inlineStr">
        <is>
          <t>חבר/ת כנסת מכהן/ת (מפלגה חד-מגדרית באופן היסטורי)</t>
        </is>
      </c>
    </row>
    <row r="133" ht="15" customHeight="1" s="20">
      <c r="A133" s="30" t="inlineStr">
        <is>
          <t>ש"ס</t>
        </is>
      </c>
      <c r="B133" s="30" t="n">
        <v>8</v>
      </c>
      <c r="C133" s="30" t="inlineStr">
        <is>
          <t>משה אבוטבול</t>
        </is>
      </c>
      <c r="D133" s="30" t="inlineStr">
        <is>
          <t>ז</t>
        </is>
      </c>
      <c r="E133" s="33" t="inlineStr">
        <is>
          <t>חבר/ת כנסת מכהן/ת (מפלגה חד-מגדרית באופן היסטורי)</t>
        </is>
      </c>
    </row>
    <row r="134" ht="15" customHeight="1" s="20">
      <c r="A134" s="30" t="n"/>
      <c r="B134" s="30" t="n"/>
      <c r="C134" s="30" t="n"/>
      <c r="D134" s="30" t="n"/>
      <c r="E134" s="33" t="n"/>
    </row>
    <row r="135" ht="15" customHeight="1" s="20">
      <c r="A135" s="30" t="n"/>
      <c r="B135" s="30" t="n"/>
      <c r="C135" s="30" t="n"/>
      <c r="D135" s="30" t="n"/>
      <c r="E135" s="33" t="n"/>
    </row>
    <row r="136" ht="15" customHeight="1" s="20">
      <c r="A136" s="30" t="n"/>
      <c r="B136" s="30" t="n"/>
      <c r="C136" s="30" t="n"/>
      <c r="D136" s="30" t="n"/>
      <c r="E136" s="33" t="n"/>
    </row>
    <row r="137" ht="15" customHeight="1" s="20"/>
    <row r="138" ht="15" customHeight="1" s="2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עודכנה מהאתר הרשמי (yasharwitheisenkot.com/team-member); רק 11 מתוך כ-23 המנדטים הצפויים משויכים לשמות ידועים - הנתון הוא רף תחתון (מינימום)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פריימריז צפוי 26.7.2026 - הסדר עשוי להשתנות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0 מנדטים חזויים (מתחת לסף שנקבע) - לא נספר</t>
        </is>
      </c>
      <c r="I13" s="35" t="n"/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</row>
    <row r="2">
      <c r="A2" t="inlineStr">
        <is>
          <t>מעריב</t>
        </is>
      </c>
      <c r="B2" t="inlineStr">
        <is>
          <t>2026-07-31</t>
        </is>
      </c>
      <c r="C2" t="inlineStr">
        <is>
          <t>מנחם לזר</t>
        </is>
      </c>
      <c r="D2" t="n">
        <v>501</v>
      </c>
      <c r="E2" t="n">
        <v>22</v>
      </c>
      <c r="F2" t="n">
        <v>8</v>
      </c>
      <c r="G2" t="n">
        <v>7</v>
      </c>
      <c r="H2" t="n">
        <v>0</v>
      </c>
      <c r="I2" t="n">
        <v>5</v>
      </c>
      <c r="J2" t="n">
        <v>10</v>
      </c>
      <c r="K2" t="n">
        <v>9</v>
      </c>
      <c r="L2" t="n">
        <v>5</v>
      </c>
      <c r="M2" t="n">
        <v>5</v>
      </c>
      <c r="N2" t="n">
        <v>7</v>
      </c>
      <c r="O2" t="n">
        <v>15</v>
      </c>
      <c r="P2" t="n">
        <v>23</v>
      </c>
    </row>
    <row r="3">
      <c r="A3" t="inlineStr">
        <is>
          <t>זמן ישראל</t>
        </is>
      </c>
      <c r="B3" t="inlineStr">
        <is>
          <t>2026-07-30</t>
        </is>
      </c>
      <c r="C3" t="inlineStr">
        <is>
          <t>יוסי טאטיקה</t>
        </is>
      </c>
      <c r="D3" t="n">
        <v>500</v>
      </c>
      <c r="E3" t="n">
        <v>20</v>
      </c>
      <c r="F3" t="n">
        <v>8</v>
      </c>
      <c r="G3" t="n">
        <v>8</v>
      </c>
      <c r="H3" t="n">
        <v>4</v>
      </c>
      <c r="I3" t="n">
        <v>6</v>
      </c>
      <c r="J3" t="n">
        <v>10</v>
      </c>
      <c r="K3" t="n">
        <v>8</v>
      </c>
      <c r="L3" t="n">
        <v>6</v>
      </c>
      <c r="M3" t="n">
        <v>5</v>
      </c>
      <c r="N3" t="n">
        <v>7</v>
      </c>
      <c r="O3" t="n">
        <v>13</v>
      </c>
      <c r="P3" t="n">
        <v>21</v>
      </c>
    </row>
    <row r="4">
      <c r="A4" t="inlineStr">
        <is>
          <t>חדשות 13</t>
        </is>
      </c>
      <c r="B4" t="inlineStr">
        <is>
          <t>2026-07-29</t>
        </is>
      </c>
      <c r="C4" t="inlineStr">
        <is>
          <t>המדד</t>
        </is>
      </c>
      <c r="D4" t="n">
        <v>956</v>
      </c>
      <c r="E4" t="n">
        <v>23</v>
      </c>
      <c r="F4" t="n">
        <v>9</v>
      </c>
      <c r="G4" t="n">
        <v>7</v>
      </c>
      <c r="H4" t="n">
        <v>0</v>
      </c>
      <c r="I4" t="n">
        <v>4</v>
      </c>
      <c r="J4" t="n">
        <v>10</v>
      </c>
      <c r="K4" t="n">
        <v>9</v>
      </c>
      <c r="L4" t="n">
        <v>4</v>
      </c>
      <c r="M4" t="n">
        <v>5</v>
      </c>
      <c r="N4" t="n">
        <v>8</v>
      </c>
      <c r="O4" t="n">
        <v>13</v>
      </c>
      <c r="P4" t="n">
        <v>23</v>
      </c>
    </row>
    <row r="5">
      <c r="A5" t="inlineStr">
        <is>
          <t>ערוץ 14</t>
        </is>
      </c>
      <c r="B5" t="inlineStr">
        <is>
          <t>2026-07-29</t>
        </is>
      </c>
      <c r="C5" t="inlineStr">
        <is>
          <t>שלמה פילבר</t>
        </is>
      </c>
      <c r="D5" t="n">
        <v>539</v>
      </c>
      <c r="E5" t="n">
        <v>32</v>
      </c>
      <c r="F5" t="n">
        <v>8</v>
      </c>
      <c r="G5" t="n">
        <v>10</v>
      </c>
      <c r="H5" t="n">
        <v>0</v>
      </c>
      <c r="I5" t="n">
        <v>6</v>
      </c>
      <c r="J5" t="n">
        <v>8</v>
      </c>
      <c r="K5" t="n">
        <v>10</v>
      </c>
      <c r="L5" t="n">
        <v>5</v>
      </c>
      <c r="M5" t="n">
        <v>5</v>
      </c>
      <c r="N5" t="n">
        <v>7</v>
      </c>
      <c r="O5" t="n">
        <v>7</v>
      </c>
      <c r="P5" t="n">
        <v>22</v>
      </c>
    </row>
    <row r="6">
      <c r="A6" t="inlineStr">
        <is>
          <t>i24 news</t>
        </is>
      </c>
      <c r="B6" t="inlineStr">
        <is>
          <t>2026-07-27</t>
        </is>
      </c>
      <c r="C6" t="inlineStr">
        <is>
          <t>צוריאל שרון</t>
        </is>
      </c>
      <c r="D6" t="n">
        <v>525</v>
      </c>
      <c r="E6" t="n">
        <v>29</v>
      </c>
      <c r="F6" t="n">
        <v>8</v>
      </c>
      <c r="G6" t="n">
        <v>9</v>
      </c>
      <c r="H6" t="n">
        <v>0</v>
      </c>
      <c r="I6" t="n">
        <v>7</v>
      </c>
      <c r="J6" t="n">
        <v>9</v>
      </c>
      <c r="K6" t="n">
        <v>10</v>
      </c>
      <c r="L6" t="n">
        <v>5</v>
      </c>
      <c r="M6" t="n">
        <v>5</v>
      </c>
      <c r="N6" t="n">
        <v>8</v>
      </c>
      <c r="O6" t="n">
        <v>9</v>
      </c>
      <c r="P6" t="n">
        <v>21</v>
      </c>
    </row>
    <row r="7">
      <c r="A7" t="inlineStr">
        <is>
          <t>חדשות 12</t>
        </is>
      </c>
      <c r="B7" t="inlineStr">
        <is>
          <t>2026-07-27</t>
        </is>
      </c>
      <c r="C7" t="inlineStr">
        <is>
          <t>מנו גבע</t>
        </is>
      </c>
      <c r="D7" t="n">
        <v>509</v>
      </c>
      <c r="E7" t="n">
        <v>22</v>
      </c>
      <c r="F7" t="n">
        <v>8</v>
      </c>
      <c r="G7" t="n">
        <v>8</v>
      </c>
      <c r="H7" t="n">
        <v>0</v>
      </c>
      <c r="I7" t="n">
        <v>5</v>
      </c>
      <c r="J7" t="n">
        <v>9</v>
      </c>
      <c r="K7" t="n">
        <v>10</v>
      </c>
      <c r="L7" t="n">
        <v>4</v>
      </c>
      <c r="M7" t="n">
        <v>5</v>
      </c>
      <c r="N7" t="n">
        <v>8</v>
      </c>
      <c r="O7" t="n">
        <v>14</v>
      </c>
      <c r="P7" t="n">
        <v>23</v>
      </c>
    </row>
    <row r="8">
      <c r="A8" t="inlineStr">
        <is>
          <t>כאן חדשות</t>
        </is>
      </c>
      <c r="B8" t="inlineStr">
        <is>
          <t>2026-07-26</t>
        </is>
      </c>
      <c r="C8" t="inlineStr">
        <is>
          <t>דודי חסיד</t>
        </is>
      </c>
      <c r="D8" t="n">
        <v>550</v>
      </c>
      <c r="E8" t="n">
        <v>22</v>
      </c>
      <c r="F8" t="n">
        <v>8</v>
      </c>
      <c r="G8" t="n">
        <v>8</v>
      </c>
      <c r="H8" t="n">
        <v>0</v>
      </c>
      <c r="I8" t="n">
        <v>5</v>
      </c>
      <c r="J8" t="n">
        <v>9</v>
      </c>
      <c r="K8" t="n">
        <v>10</v>
      </c>
      <c r="L8" t="n">
        <v>5</v>
      </c>
      <c r="M8" t="n">
        <v>5</v>
      </c>
      <c r="N8" t="n">
        <v>9</v>
      </c>
      <c r="O8" t="n">
        <v>14</v>
      </c>
      <c r="P8" t="n">
        <v>21</v>
      </c>
    </row>
    <row r="9">
      <c r="A9" t="inlineStr">
        <is>
          <t>ישראל היום</t>
        </is>
      </c>
      <c r="B9" t="inlineStr">
        <is>
          <t>2026-07-23</t>
        </is>
      </c>
      <c r="C9" t="inlineStr">
        <is>
          <t>דודי חסיד</t>
        </is>
      </c>
      <c r="D9" t="n">
        <v>500</v>
      </c>
      <c r="E9" t="n">
        <v>23</v>
      </c>
      <c r="F9" t="n">
        <v>8</v>
      </c>
      <c r="G9" t="n">
        <v>8</v>
      </c>
      <c r="H9" t="n">
        <v>0</v>
      </c>
      <c r="I9" t="n">
        <v>5</v>
      </c>
      <c r="J9" t="n">
        <v>9</v>
      </c>
      <c r="K9" t="n">
        <v>10</v>
      </c>
      <c r="L9" t="n">
        <v>5</v>
      </c>
      <c r="M9" t="n">
        <v>6</v>
      </c>
      <c r="N9" t="n">
        <v>9</v>
      </c>
      <c r="O9" t="n">
        <v>14</v>
      </c>
      <c r="P9" t="n">
        <v>23</v>
      </c>
    </row>
    <row r="10">
      <c r="A10" t="inlineStr">
        <is>
          <t>וואלה</t>
        </is>
      </c>
      <c r="B10" t="inlineStr">
        <is>
          <t>2026-04-27</t>
        </is>
      </c>
      <c r="C10" t="inlineStr">
        <is>
          <t>מנחם לזר</t>
        </is>
      </c>
      <c r="D10" t="n">
        <v>500</v>
      </c>
      <c r="E10" t="n">
        <v>28</v>
      </c>
      <c r="F10" t="n">
        <v>7</v>
      </c>
      <c r="G10" t="n">
        <v>8</v>
      </c>
      <c r="H10" t="n">
        <v>0</v>
      </c>
      <c r="I10" t="n">
        <v>5</v>
      </c>
      <c r="J10" t="n">
        <v>8</v>
      </c>
      <c r="K10" t="n">
        <v>9</v>
      </c>
      <c r="L10" t="n">
        <v>0</v>
      </c>
      <c r="M10" t="n">
        <v>5</v>
      </c>
      <c r="N10" t="n">
        <v>8</v>
      </c>
      <c r="O10" t="n">
        <v>27</v>
      </c>
      <c r="P10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מפלגה</t>
        </is>
      </c>
      <c r="D1" t="inlineStr">
        <is>
          <t>מנדטים</t>
        </is>
      </c>
      <c r="E1" t="inlineStr">
        <is>
          <t>כמות נשים צפויה</t>
        </is>
      </c>
      <c r="F1" t="inlineStr">
        <is>
          <t>כמות גברים צפויה</t>
        </is>
      </c>
      <c r="G1" t="inlineStr">
        <is>
          <t>אחוז נשים צפוי</t>
        </is>
      </c>
      <c r="H1" t="inlineStr">
        <is>
          <t>מועמדים ידועים (סה"כ)</t>
        </is>
      </c>
      <c r="I1" t="inlineStr">
        <is>
          <t>הערה</t>
        </is>
      </c>
    </row>
    <row r="2">
      <c r="A2" t="inlineStr">
        <is>
          <t>מעריב</t>
        </is>
      </c>
      <c r="B2">
        <f>INDEX('סקרים לפי ערוץ'!$B:$B,MATCH($A2,'סקרים לפי ערוץ'!$A:$A,0))</f>
        <v/>
      </c>
      <c r="C2" t="inlineStr">
        <is>
          <t>הליכוד</t>
        </is>
      </c>
      <c r="D2">
        <f>INDEX('סקרים לפי ערוץ'!E:E,MATCH($A2,'סקרים לפי ערוץ'!$A:$A,0))</f>
        <v/>
      </c>
      <c r="E2">
        <f>COUNTIFS('מועמדים 2026'!$A:$A,$C2,'מועמדים 2026'!$D:$D,"נ",'מועמדים 2026'!$B:$B,"&lt;="&amp;$D2)</f>
        <v/>
      </c>
      <c r="F2">
        <f>COUNTIFS('מועמדים 2026'!$A:$A,$C2,'מועמדים 2026'!$D:$D,"ז",'מועמדים 2026'!$B:$B,"&lt;="&amp;$D2)</f>
        <v/>
      </c>
      <c r="G2">
        <f>IF($D2=0,0,$E2/$D2)</f>
        <v/>
      </c>
      <c r="H2">
        <f>COUNTIFS('מועמדים 2026'!$A:$A,$C2)</f>
        <v/>
      </c>
      <c r="I2">
        <f>IF(AND($D2&gt;0,$H2=0),"אין נתוני מועמדים לחישוב","")</f>
        <v/>
      </c>
    </row>
    <row r="3">
      <c r="A3" t="inlineStr">
        <is>
          <t>מעריב</t>
        </is>
      </c>
      <c r="B3">
        <f>INDEX('סקרים לפי ערוץ'!$B:$B,MATCH($A3,'סקרים לפי ערוץ'!$A:$A,0))</f>
        <v/>
      </c>
      <c r="C3" t="inlineStr">
        <is>
          <t>יהדות התורה</t>
        </is>
      </c>
      <c r="D3">
        <f>INDEX('סקרים לפי ערוץ'!F:F,MATCH($A3,'סקרים לפי ערוץ'!$A:$A,0))</f>
        <v/>
      </c>
      <c r="E3">
        <f>COUNTIFS('מועמדים 2026'!$A:$A,$C3,'מועמדים 2026'!$D:$D,"נ",'מועמדים 2026'!$B:$B,"&lt;="&amp;$D3)</f>
        <v/>
      </c>
      <c r="F3">
        <f>COUNTIFS('מועמדים 2026'!$A:$A,$C3,'מועמדים 2026'!$D:$D,"ז",'מועמדים 2026'!$B:$B,"&lt;="&amp;$D3)</f>
        <v/>
      </c>
      <c r="G3">
        <f>IF($D3=0,0,$E3/$D3)</f>
        <v/>
      </c>
      <c r="H3">
        <f>COUNTIFS('מועמדים 2026'!$A:$A,$C3)</f>
        <v/>
      </c>
      <c r="I3">
        <f>IF(AND($D3&gt;0,$H3=0),"אין נתוני מועמדים לחישוב","")</f>
        <v/>
      </c>
    </row>
    <row r="4">
      <c r="A4" t="inlineStr">
        <is>
          <t>מעריב</t>
        </is>
      </c>
      <c r="B4">
        <f>INDEX('סקרים לפי ערוץ'!$B:$B,MATCH($A4,'סקרים לפי ערוץ'!$A:$A,0))</f>
        <v/>
      </c>
      <c r="C4" t="inlineStr">
        <is>
          <t>ש"ס</t>
        </is>
      </c>
      <c r="D4">
        <f>INDEX('סקרים לפי ערוץ'!G:G,MATCH($A4,'סקרים לפי ערוץ'!$A:$A,0))</f>
        <v/>
      </c>
      <c r="E4">
        <f>COUNTIFS('מועמדים 2026'!$A:$A,$C4,'מועמדים 2026'!$D:$D,"נ",'מועמדים 2026'!$B:$B,"&lt;="&amp;$D4)</f>
        <v/>
      </c>
      <c r="F4">
        <f>COUNTIFS('מועמדים 2026'!$A:$A,$C4,'מועמדים 2026'!$D:$D,"ז",'מועמדים 2026'!$B:$B,"&lt;="&amp;$D4)</f>
        <v/>
      </c>
      <c r="G4">
        <f>IF($D4=0,0,$E4/$D4)</f>
        <v/>
      </c>
      <c r="H4">
        <f>COUNTIFS('מועמדים 2026'!$A:$A,$C4)</f>
        <v/>
      </c>
      <c r="I4">
        <f>IF(AND($D4&gt;0,$H4=0),"אין נתוני מועמדים לחישוב","")</f>
        <v/>
      </c>
    </row>
    <row r="5">
      <c r="A5" t="inlineStr">
        <is>
          <t>מעריב</t>
        </is>
      </c>
      <c r="B5">
        <f>INDEX('סקרים לפי ערוץ'!$B:$B,MATCH($A5,'סקרים לפי ערוץ'!$A:$A,0))</f>
        <v/>
      </c>
      <c r="C5" t="inlineStr">
        <is>
          <t>כחול לבן</t>
        </is>
      </c>
      <c r="D5">
        <f>INDEX('סקרים לפי ערוץ'!H:H,MATCH($A5,'סקרים לפי ערוץ'!$A:$A,0))</f>
        <v/>
      </c>
      <c r="E5">
        <f>COUNTIFS('מועמדים 2026'!$A:$A,$C5,'מועמדים 2026'!$D:$D,"נ",'מועמדים 2026'!$B:$B,"&lt;="&amp;$D5)</f>
        <v/>
      </c>
      <c r="F5">
        <f>COUNTIFS('מועמדים 2026'!$A:$A,$C5,'מועמדים 2026'!$D:$D,"ז",'מועמדים 2026'!$B:$B,"&lt;="&amp;$D5)</f>
        <v/>
      </c>
      <c r="G5">
        <f>IF($D5=0,0,$E5/$D5)</f>
        <v/>
      </c>
      <c r="H5">
        <f>COUNTIFS('מועמדים 2026'!$A:$A,$C5)</f>
        <v/>
      </c>
      <c r="I5">
        <f>IF(AND($D5&gt;0,$H5=0),"אין נתוני מועמדים לחישוב","")</f>
        <v/>
      </c>
    </row>
    <row r="6">
      <c r="A6" t="inlineStr">
        <is>
          <t>מעריב</t>
        </is>
      </c>
      <c r="B6">
        <f>INDEX('סקרים לפי ערוץ'!$B:$B,MATCH($A6,'סקרים לפי ערוץ'!$A:$A,0))</f>
        <v/>
      </c>
      <c r="C6" t="inlineStr">
        <is>
          <t>חדש תע"ל</t>
        </is>
      </c>
      <c r="D6">
        <f>INDEX('סקרים לפי ערוץ'!I:I,MATCH($A6,'סקרים לפי ערוץ'!$A:$A,0))</f>
        <v/>
      </c>
      <c r="E6">
        <f>COUNTIFS('מועמדים 2026'!$A:$A,$C6,'מועמדים 2026'!$D:$D,"נ",'מועמדים 2026'!$B:$B,"&lt;="&amp;$D6)</f>
        <v/>
      </c>
      <c r="F6">
        <f>COUNTIFS('מועמדים 2026'!$A:$A,$C6,'מועמדים 2026'!$D:$D,"ז",'מועמדים 2026'!$B:$B,"&lt;="&amp;$D6)</f>
        <v/>
      </c>
      <c r="G6">
        <f>IF($D6=0,0,$E6/$D6)</f>
        <v/>
      </c>
      <c r="H6">
        <f>COUNTIFS('מועמדים 2026'!$A:$A,$C6)</f>
        <v/>
      </c>
      <c r="I6">
        <f>IF(AND($D6&gt;0,$H6=0),"אין נתוני מועמדים לחישוב","")</f>
        <v/>
      </c>
    </row>
    <row r="7">
      <c r="A7" t="inlineStr">
        <is>
          <t>מעריב</t>
        </is>
      </c>
      <c r="B7">
        <f>INDEX('סקרים לפי ערוץ'!$B:$B,MATCH($A7,'סקרים לפי ערוץ'!$A:$A,0))</f>
        <v/>
      </c>
      <c r="C7" t="inlineStr">
        <is>
          <t>ישראל ביתנו</t>
        </is>
      </c>
      <c r="D7">
        <f>INDEX('סקרים לפי ערוץ'!J:J,MATCH($A7,'סקרים לפי ערוץ'!$A:$A,0))</f>
        <v/>
      </c>
      <c r="E7">
        <f>COUNTIFS('מועמדים 2026'!$A:$A,$C7,'מועמדים 2026'!$D:$D,"נ",'מועמדים 2026'!$B:$B,"&lt;="&amp;$D7)</f>
        <v/>
      </c>
      <c r="F7">
        <f>COUNTIFS('מועמדים 2026'!$A:$A,$C7,'מועמדים 2026'!$D:$D,"ז",'מועמדים 2026'!$B:$B,"&lt;="&amp;$D7)</f>
        <v/>
      </c>
      <c r="G7">
        <f>IF($D7=0,0,$E7/$D7)</f>
        <v/>
      </c>
      <c r="H7">
        <f>COUNTIFS('מועמדים 2026'!$A:$A,$C7)</f>
        <v/>
      </c>
      <c r="I7">
        <f>IF(AND($D7&gt;0,$H7=0),"אין נתוני מועמדים לחישוב","")</f>
        <v/>
      </c>
    </row>
    <row r="8">
      <c r="A8" t="inlineStr">
        <is>
          <t>מעריב</t>
        </is>
      </c>
      <c r="B8">
        <f>INDEX('סקרים לפי ערוץ'!$B:$B,MATCH($A8,'סקרים לפי ערוץ'!$A:$A,0))</f>
        <v/>
      </c>
      <c r="C8" t="inlineStr">
        <is>
          <t>הדמוקרטים</t>
        </is>
      </c>
      <c r="D8">
        <f>INDEX('סקרים לפי ערוץ'!K:K,MATCH($A8,'סקרים לפי ערוץ'!$A:$A,0))</f>
        <v/>
      </c>
      <c r="E8">
        <f>COUNTIFS('מועמדים 2026'!$A:$A,$C8,'מועמדים 2026'!$D:$D,"נ",'מועמדים 2026'!$B:$B,"&lt;="&amp;$D8)</f>
        <v/>
      </c>
      <c r="F8">
        <f>COUNTIFS('מועמדים 2026'!$A:$A,$C8,'מועמדים 2026'!$D:$D,"ז",'מועמדים 2026'!$B:$B,"&lt;="&amp;$D8)</f>
        <v/>
      </c>
      <c r="G8">
        <f>IF($D8=0,0,$E8/$D8)</f>
        <v/>
      </c>
      <c r="H8">
        <f>COUNTIFS('מועמדים 2026'!$A:$A,$C8)</f>
        <v/>
      </c>
      <c r="I8">
        <f>IF(AND($D8&gt;0,$H8=0),"אין נתוני מועמדים לחישוב","")</f>
        <v/>
      </c>
    </row>
    <row r="9">
      <c r="A9" t="inlineStr">
        <is>
          <t>מעריב</t>
        </is>
      </c>
      <c r="B9">
        <f>INDEX('סקרים לפי ערוץ'!$B:$B,MATCH($A9,'סקרים לפי ערוץ'!$A:$A,0))</f>
        <v/>
      </c>
      <c r="C9" t="inlineStr">
        <is>
          <t>הציונות הדתית</t>
        </is>
      </c>
      <c r="D9">
        <f>INDEX('סקרים לפי ערוץ'!L:L,MATCH($A9,'סקרים לפי ערוץ'!$A:$A,0))</f>
        <v/>
      </c>
      <c r="E9">
        <f>COUNTIFS('מועמדים 2026'!$A:$A,$C9,'מועמדים 2026'!$D:$D,"נ",'מועמדים 2026'!$B:$B,"&lt;="&amp;$D9)</f>
        <v/>
      </c>
      <c r="F9">
        <f>COUNTIFS('מועמדים 2026'!$A:$A,$C9,'מועמדים 2026'!$D:$D,"ז",'מועמדים 2026'!$B:$B,"&lt;="&amp;$D9)</f>
        <v/>
      </c>
      <c r="G9">
        <f>IF($D9=0,0,$E9/$D9)</f>
        <v/>
      </c>
      <c r="H9">
        <f>COUNTIFS('מועמדים 2026'!$A:$A,$C9)</f>
        <v/>
      </c>
      <c r="I9">
        <f>IF(AND($D9&gt;0,$H9=0),"אין נתוני מועמדים לחישוב","")</f>
        <v/>
      </c>
    </row>
    <row r="10">
      <c r="A10" t="inlineStr">
        <is>
          <t>מעריב</t>
        </is>
      </c>
      <c r="B10">
        <f>INDEX('סקרים לפי ערוץ'!$B:$B,MATCH($A10,'סקרים לפי ערוץ'!$A:$A,0))</f>
        <v/>
      </c>
      <c r="C10" t="inlineStr">
        <is>
          <t>רע"מ</t>
        </is>
      </c>
      <c r="D10">
        <f>INDEX('סקרים לפי ערוץ'!M:M,MATCH($A10,'סקרים לפי ערוץ'!$A:$A,0))</f>
        <v/>
      </c>
      <c r="E10">
        <f>COUNTIFS('מועמדים 2026'!$A:$A,$C10,'מועמדים 2026'!$D:$D,"נ",'מועמדים 2026'!$B:$B,"&lt;="&amp;$D10)</f>
        <v/>
      </c>
      <c r="F10">
        <f>COUNTIFS('מועמדים 2026'!$A:$A,$C10,'מועמדים 2026'!$D:$D,"ז",'מועמדים 2026'!$B:$B,"&lt;="&amp;$D10)</f>
        <v/>
      </c>
      <c r="G10">
        <f>IF($D10=0,0,$E10/$D10)</f>
        <v/>
      </c>
      <c r="H10">
        <f>COUNTIFS('מועמדים 2026'!$A:$A,$C10)</f>
        <v/>
      </c>
      <c r="I10">
        <f>IF(AND($D10&gt;0,$H10=0),"אין נתוני מועמדים לחישוב","")</f>
        <v/>
      </c>
    </row>
    <row r="11">
      <c r="A11" t="inlineStr">
        <is>
          <t>מעריב</t>
        </is>
      </c>
      <c r="B11">
        <f>INDEX('סקרים לפי ערוץ'!$B:$B,MATCH($A11,'סקרים לפי ערוץ'!$A:$A,0))</f>
        <v/>
      </c>
      <c r="C11" t="inlineStr">
        <is>
          <t>עוצמה יהודית</t>
        </is>
      </c>
      <c r="D11">
        <f>INDEX('סקרים לפי ערוץ'!N:N,MATCH($A11,'סקרים לפי ערוץ'!$A:$A,0))</f>
        <v/>
      </c>
      <c r="E11">
        <f>COUNTIFS('מועמדים 2026'!$A:$A,$C11,'מועמדים 2026'!$D:$D,"נ",'מועמדים 2026'!$B:$B,"&lt;="&amp;$D11)</f>
        <v/>
      </c>
      <c r="F11">
        <f>COUNTIFS('מועמדים 2026'!$A:$A,$C11,'מועמדים 2026'!$D:$D,"ז",'מועמדים 2026'!$B:$B,"&lt;="&amp;$D11)</f>
        <v/>
      </c>
      <c r="G11">
        <f>IF($D11=0,0,$E11/$D11)</f>
        <v/>
      </c>
      <c r="H11">
        <f>COUNTIFS('מועמדים 2026'!$A:$A,$C11)</f>
        <v/>
      </c>
      <c r="I11">
        <f>IF(AND($D11&gt;0,$H11=0),"אין נתוני מועמדים לחישוב","")</f>
        <v/>
      </c>
    </row>
    <row r="12">
      <c r="A12" t="inlineStr">
        <is>
          <t>מעריב</t>
        </is>
      </c>
      <c r="B12">
        <f>INDEX('סקרים לפי ערוץ'!$B:$B,MATCH($A12,'סקרים לפי ערוץ'!$A:$A,0))</f>
        <v/>
      </c>
      <c r="C12" t="inlineStr">
        <is>
          <t>ביחד (בנט-לפיד)</t>
        </is>
      </c>
      <c r="D12">
        <f>INDEX('סקרים לפי ערוץ'!O:O,MATCH($A12,'סקרים לפי ערוץ'!$A:$A,0))</f>
        <v/>
      </c>
      <c r="E12">
        <f>COUNTIFS('מועמדים 2026'!$A:$A,$C12,'מועמדים 2026'!$D:$D,"נ",'מועמדים 2026'!$B:$B,"&lt;="&amp;$D12)</f>
        <v/>
      </c>
      <c r="F12">
        <f>COUNTIFS('מועמדים 2026'!$A:$A,$C12,'מועמדים 2026'!$D:$D,"ז",'מועמדים 2026'!$B:$B,"&lt;="&amp;$D12)</f>
        <v/>
      </c>
      <c r="G12">
        <f>IF($D12=0,0,$E12/$D12)</f>
        <v/>
      </c>
      <c r="H12">
        <f>COUNTIFS('מועמדים 2026'!$A:$A,$C12)</f>
        <v/>
      </c>
      <c r="I12">
        <f>IF(AND($D12&gt;0,$H12=0),"אין נתוני מועמדים לחישוב","")</f>
        <v/>
      </c>
    </row>
    <row r="13">
      <c r="A13" t="inlineStr">
        <is>
          <t>מעריב</t>
        </is>
      </c>
      <c r="B13">
        <f>INDEX('סקרים לפי ערוץ'!$B:$B,MATCH($A13,'סקרים לפי ערוץ'!$A:$A,0))</f>
        <v/>
      </c>
      <c r="C13" t="inlineStr">
        <is>
          <t>ישר!</t>
        </is>
      </c>
      <c r="D13">
        <f>INDEX('סקרים לפי ערוץ'!P:P,MATCH($A13,'סקרים לפי ערוץ'!$A:$A,0))</f>
        <v/>
      </c>
      <c r="E13">
        <f>COUNTIFS('מועמדים 2026'!$A:$A,$C13,'מועמדים 2026'!$D:$D,"נ",'מועמדים 2026'!$B:$B,"&lt;="&amp;$D13)</f>
        <v/>
      </c>
      <c r="F13">
        <f>COUNTIFS('מועמדים 2026'!$A:$A,$C13,'מועמדים 2026'!$D:$D,"ז",'מועמדים 2026'!$B:$B,"&lt;="&amp;$D13)</f>
        <v/>
      </c>
      <c r="G13">
        <f>IF($D13=0,0,$E13/$D13)</f>
        <v/>
      </c>
      <c r="H13">
        <f>COUNTIFS('מועמדים 2026'!$A:$A,$C13)</f>
        <v/>
      </c>
      <c r="I13">
        <f>IF(AND($D13&gt;0,$H13=0),"אין נתוני מועמדים לחישוב","")</f>
        <v/>
      </c>
    </row>
    <row r="14">
      <c r="A14" t="inlineStr">
        <is>
          <t>זמן ישראל</t>
        </is>
      </c>
      <c r="B14">
        <f>INDEX('סקרים לפי ערוץ'!$B:$B,MATCH($A14,'סקרים לפי ערוץ'!$A:$A,0))</f>
        <v/>
      </c>
      <c r="C14" t="inlineStr">
        <is>
          <t>הליכוד</t>
        </is>
      </c>
      <c r="D14">
        <f>INDEX('סקרים לפי ערוץ'!E:E,MATCH($A14,'סקרים לפי ערוץ'!$A:$A,0))</f>
        <v/>
      </c>
      <c r="E14">
        <f>COUNTIFS('מועמדים 2026'!$A:$A,$C14,'מועמדים 2026'!$D:$D,"נ",'מועמדים 2026'!$B:$B,"&lt;="&amp;$D14)</f>
        <v/>
      </c>
      <c r="F14">
        <f>COUNTIFS('מועמדים 2026'!$A:$A,$C14,'מועמדים 2026'!$D:$D,"ז",'מועמדים 2026'!$B:$B,"&lt;="&amp;$D14)</f>
        <v/>
      </c>
      <c r="G14">
        <f>IF($D14=0,0,$E14/$D14)</f>
        <v/>
      </c>
      <c r="H14">
        <f>COUNTIFS('מועמדים 2026'!$A:$A,$C14)</f>
        <v/>
      </c>
      <c r="I14">
        <f>IF(AND($D14&gt;0,$H14=0),"אין נתוני מועמדים לחישוב","")</f>
        <v/>
      </c>
    </row>
    <row r="15">
      <c r="A15" t="inlineStr">
        <is>
          <t>זמן ישראל</t>
        </is>
      </c>
      <c r="B15">
        <f>INDEX('סקרים לפי ערוץ'!$B:$B,MATCH($A15,'סקרים לפי ערוץ'!$A:$A,0))</f>
        <v/>
      </c>
      <c r="C15" t="inlineStr">
        <is>
          <t>יהדות התורה</t>
        </is>
      </c>
      <c r="D15">
        <f>INDEX('סקרים לפי ערוץ'!F:F,MATCH($A15,'סקרים לפי ערוץ'!$A:$A,0))</f>
        <v/>
      </c>
      <c r="E15">
        <f>COUNTIFS('מועמדים 2026'!$A:$A,$C15,'מועמדים 2026'!$D:$D,"נ",'מועמדים 2026'!$B:$B,"&lt;="&amp;$D15)</f>
        <v/>
      </c>
      <c r="F15">
        <f>COUNTIFS('מועמדים 2026'!$A:$A,$C15,'מועמדים 2026'!$D:$D,"ז",'מועמדים 2026'!$B:$B,"&lt;="&amp;$D15)</f>
        <v/>
      </c>
      <c r="G15">
        <f>IF($D15=0,0,$E15/$D15)</f>
        <v/>
      </c>
      <c r="H15">
        <f>COUNTIFS('מועמדים 2026'!$A:$A,$C15)</f>
        <v/>
      </c>
      <c r="I15">
        <f>IF(AND($D15&gt;0,$H15=0),"אין נתוני מועמדים לחישוב","")</f>
        <v/>
      </c>
    </row>
    <row r="16">
      <c r="A16" t="inlineStr">
        <is>
          <t>זמן ישראל</t>
        </is>
      </c>
      <c r="B16">
        <f>INDEX('סקרים לפי ערוץ'!$B:$B,MATCH($A16,'סקרים לפי ערוץ'!$A:$A,0))</f>
        <v/>
      </c>
      <c r="C16" t="inlineStr">
        <is>
          <t>ש"ס</t>
        </is>
      </c>
      <c r="D16">
        <f>INDEX('סקרים לפי ערוץ'!G:G,MATCH($A16,'סקרים לפי ערוץ'!$A:$A,0))</f>
        <v/>
      </c>
      <c r="E16">
        <f>COUNTIFS('מועמדים 2026'!$A:$A,$C16,'מועמדים 2026'!$D:$D,"נ",'מועמדים 2026'!$B:$B,"&lt;="&amp;$D16)</f>
        <v/>
      </c>
      <c r="F16">
        <f>COUNTIFS('מועמדים 2026'!$A:$A,$C16,'מועמדים 2026'!$D:$D,"ז",'מועמדים 2026'!$B:$B,"&lt;="&amp;$D16)</f>
        <v/>
      </c>
      <c r="G16">
        <f>IF($D16=0,0,$E16/$D16)</f>
        <v/>
      </c>
      <c r="H16">
        <f>COUNTIFS('מועמדים 2026'!$A:$A,$C16)</f>
        <v/>
      </c>
      <c r="I16">
        <f>IF(AND($D16&gt;0,$H16=0),"אין נתוני מועמדים לחישוב","")</f>
        <v/>
      </c>
    </row>
    <row r="17">
      <c r="A17" t="inlineStr">
        <is>
          <t>זמן ישראל</t>
        </is>
      </c>
      <c r="B17">
        <f>INDEX('סקרים לפי ערוץ'!$B:$B,MATCH($A17,'סקרים לפי ערוץ'!$A:$A,0))</f>
        <v/>
      </c>
      <c r="C17" t="inlineStr">
        <is>
          <t>כחול לבן</t>
        </is>
      </c>
      <c r="D17">
        <f>INDEX('סקרים לפי ערוץ'!H:H,MATCH($A17,'סקרים לפי ערוץ'!$A:$A,0))</f>
        <v/>
      </c>
      <c r="E17">
        <f>COUNTIFS('מועמדים 2026'!$A:$A,$C17,'מועמדים 2026'!$D:$D,"נ",'מועמדים 2026'!$B:$B,"&lt;="&amp;$D17)</f>
        <v/>
      </c>
      <c r="F17">
        <f>COUNTIFS('מועמדים 2026'!$A:$A,$C17,'מועמדים 2026'!$D:$D,"ז",'מועמדים 2026'!$B:$B,"&lt;="&amp;$D17)</f>
        <v/>
      </c>
      <c r="G17">
        <f>IF($D17=0,0,$E17/$D17)</f>
        <v/>
      </c>
      <c r="H17">
        <f>COUNTIFS('מועמדים 2026'!$A:$A,$C17)</f>
        <v/>
      </c>
      <c r="I17">
        <f>IF(AND($D17&gt;0,$H17=0),"אין נתוני מועמדים לחישוב","")</f>
        <v/>
      </c>
    </row>
    <row r="18">
      <c r="A18" t="inlineStr">
        <is>
          <t>זמן ישראל</t>
        </is>
      </c>
      <c r="B18">
        <f>INDEX('סקרים לפי ערוץ'!$B:$B,MATCH($A18,'סקרים לפי ערוץ'!$A:$A,0))</f>
        <v/>
      </c>
      <c r="C18" t="inlineStr">
        <is>
          <t>חדש תע"ל</t>
        </is>
      </c>
      <c r="D18">
        <f>INDEX('סקרים לפי ערוץ'!I:I,MATCH($A18,'סקרים לפי ערוץ'!$A:$A,0))</f>
        <v/>
      </c>
      <c r="E18">
        <f>COUNTIFS('מועמדים 2026'!$A:$A,$C18,'מועמדים 2026'!$D:$D,"נ",'מועמדים 2026'!$B:$B,"&lt;="&amp;$D18)</f>
        <v/>
      </c>
      <c r="F18">
        <f>COUNTIFS('מועמדים 2026'!$A:$A,$C18,'מועמדים 2026'!$D:$D,"ז",'מועמדים 2026'!$B:$B,"&lt;="&amp;$D18)</f>
        <v/>
      </c>
      <c r="G18">
        <f>IF($D18=0,0,$E18/$D18)</f>
        <v/>
      </c>
      <c r="H18">
        <f>COUNTIFS('מועמדים 2026'!$A:$A,$C18)</f>
        <v/>
      </c>
      <c r="I18">
        <f>IF(AND($D18&gt;0,$H18=0),"אין נתוני מועמדים לחישוב","")</f>
        <v/>
      </c>
    </row>
    <row r="19">
      <c r="A19" t="inlineStr">
        <is>
          <t>זמן ישראל</t>
        </is>
      </c>
      <c r="B19">
        <f>INDEX('סקרים לפי ערוץ'!$B:$B,MATCH($A19,'סקרים לפי ערוץ'!$A:$A,0))</f>
        <v/>
      </c>
      <c r="C19" t="inlineStr">
        <is>
          <t>ישראל ביתנו</t>
        </is>
      </c>
      <c r="D19">
        <f>INDEX('סקרים לפי ערוץ'!J:J,MATCH($A19,'סקרים לפי ערוץ'!$A:$A,0))</f>
        <v/>
      </c>
      <c r="E19">
        <f>COUNTIFS('מועמדים 2026'!$A:$A,$C19,'מועמדים 2026'!$D:$D,"נ",'מועמדים 2026'!$B:$B,"&lt;="&amp;$D19)</f>
        <v/>
      </c>
      <c r="F19">
        <f>COUNTIFS('מועמדים 2026'!$A:$A,$C19,'מועמדים 2026'!$D:$D,"ז",'מועמדים 2026'!$B:$B,"&lt;="&amp;$D19)</f>
        <v/>
      </c>
      <c r="G19">
        <f>IF($D19=0,0,$E19/$D19)</f>
        <v/>
      </c>
      <c r="H19">
        <f>COUNTIFS('מועמדים 2026'!$A:$A,$C19)</f>
        <v/>
      </c>
      <c r="I19">
        <f>IF(AND($D19&gt;0,$H19=0),"אין נתוני מועמדים לחישוב","")</f>
        <v/>
      </c>
    </row>
    <row r="20">
      <c r="A20" t="inlineStr">
        <is>
          <t>זמן ישראל</t>
        </is>
      </c>
      <c r="B20">
        <f>INDEX('סקרים לפי ערוץ'!$B:$B,MATCH($A20,'סקרים לפי ערוץ'!$A:$A,0))</f>
        <v/>
      </c>
      <c r="C20" t="inlineStr">
        <is>
          <t>הדמוקרטים</t>
        </is>
      </c>
      <c r="D20">
        <f>INDEX('סקרים לפי ערוץ'!K:K,MATCH($A20,'סקרים לפי ערוץ'!$A:$A,0))</f>
        <v/>
      </c>
      <c r="E20">
        <f>COUNTIFS('מועמדים 2026'!$A:$A,$C20,'מועמדים 2026'!$D:$D,"נ",'מועמדים 2026'!$B:$B,"&lt;="&amp;$D20)</f>
        <v/>
      </c>
      <c r="F20">
        <f>COUNTIFS('מועמדים 2026'!$A:$A,$C20,'מועמדים 2026'!$D:$D,"ז",'מועמדים 2026'!$B:$B,"&lt;="&amp;$D20)</f>
        <v/>
      </c>
      <c r="G20">
        <f>IF($D20=0,0,$E20/$D20)</f>
        <v/>
      </c>
      <c r="H20">
        <f>COUNTIFS('מועמדים 2026'!$A:$A,$C20)</f>
        <v/>
      </c>
      <c r="I20">
        <f>IF(AND($D20&gt;0,$H20=0),"אין נתוני מועמדים לחישוב","")</f>
        <v/>
      </c>
    </row>
    <row r="21">
      <c r="A21" t="inlineStr">
        <is>
          <t>זמן ישראל</t>
        </is>
      </c>
      <c r="B21">
        <f>INDEX('סקרים לפי ערוץ'!$B:$B,MATCH($A21,'סקרים לפי ערוץ'!$A:$A,0))</f>
        <v/>
      </c>
      <c r="C21" t="inlineStr">
        <is>
          <t>הציונות הדתית</t>
        </is>
      </c>
      <c r="D21">
        <f>INDEX('סקרים לפי ערוץ'!L:L,MATCH($A21,'סקרים לפי ערוץ'!$A:$A,0))</f>
        <v/>
      </c>
      <c r="E21">
        <f>COUNTIFS('מועמדים 2026'!$A:$A,$C21,'מועמדים 2026'!$D:$D,"נ",'מועמדים 2026'!$B:$B,"&lt;="&amp;$D21)</f>
        <v/>
      </c>
      <c r="F21">
        <f>COUNTIFS('מועמדים 2026'!$A:$A,$C21,'מועמדים 2026'!$D:$D,"ז",'מועמדים 2026'!$B:$B,"&lt;="&amp;$D21)</f>
        <v/>
      </c>
      <c r="G21">
        <f>IF($D21=0,0,$E21/$D21)</f>
        <v/>
      </c>
      <c r="H21">
        <f>COUNTIFS('מועמדים 2026'!$A:$A,$C21)</f>
        <v/>
      </c>
      <c r="I21">
        <f>IF(AND($D21&gt;0,$H21=0),"אין נתוני מועמדים לחישוב","")</f>
        <v/>
      </c>
    </row>
    <row r="22">
      <c r="A22" t="inlineStr">
        <is>
          <t>זמן ישראל</t>
        </is>
      </c>
      <c r="B22">
        <f>INDEX('סקרים לפי ערוץ'!$B:$B,MATCH($A22,'סקרים לפי ערוץ'!$A:$A,0))</f>
        <v/>
      </c>
      <c r="C22" t="inlineStr">
        <is>
          <t>רע"מ</t>
        </is>
      </c>
      <c r="D22">
        <f>INDEX('סקרים לפי ערוץ'!M:M,MATCH($A22,'סקרים לפי ערוץ'!$A:$A,0))</f>
        <v/>
      </c>
      <c r="E22">
        <f>COUNTIFS('מועמדים 2026'!$A:$A,$C22,'מועמדים 2026'!$D:$D,"נ",'מועמדים 2026'!$B:$B,"&lt;="&amp;$D22)</f>
        <v/>
      </c>
      <c r="F22">
        <f>COUNTIFS('מועמדים 2026'!$A:$A,$C22,'מועמדים 2026'!$D:$D,"ז",'מועמדים 2026'!$B:$B,"&lt;="&amp;$D22)</f>
        <v/>
      </c>
      <c r="G22">
        <f>IF($D22=0,0,$E22/$D22)</f>
        <v/>
      </c>
      <c r="H22">
        <f>COUNTIFS('מועמדים 2026'!$A:$A,$C22)</f>
        <v/>
      </c>
      <c r="I22">
        <f>IF(AND($D22&gt;0,$H22=0),"אין נתוני מועמדים לחישוב","")</f>
        <v/>
      </c>
    </row>
    <row r="23">
      <c r="A23" t="inlineStr">
        <is>
          <t>זמן ישראל</t>
        </is>
      </c>
      <c r="B23">
        <f>INDEX('סקרים לפי ערוץ'!$B:$B,MATCH($A23,'סקרים לפי ערוץ'!$A:$A,0))</f>
        <v/>
      </c>
      <c r="C23" t="inlineStr">
        <is>
          <t>עוצמה יהודית</t>
        </is>
      </c>
      <c r="D23">
        <f>INDEX('סקרים לפי ערוץ'!N:N,MATCH($A23,'סקרים לפי ערוץ'!$A:$A,0))</f>
        <v/>
      </c>
      <c r="E23">
        <f>COUNTIFS('מועמדים 2026'!$A:$A,$C23,'מועמדים 2026'!$D:$D,"נ",'מועמדים 2026'!$B:$B,"&lt;="&amp;$D23)</f>
        <v/>
      </c>
      <c r="F23">
        <f>COUNTIFS('מועמדים 2026'!$A:$A,$C23,'מועמדים 2026'!$D:$D,"ז",'מועמדים 2026'!$B:$B,"&lt;="&amp;$D23)</f>
        <v/>
      </c>
      <c r="G23">
        <f>IF($D23=0,0,$E23/$D23)</f>
        <v/>
      </c>
      <c r="H23">
        <f>COUNTIFS('מועמדים 2026'!$A:$A,$C23)</f>
        <v/>
      </c>
      <c r="I23">
        <f>IF(AND($D23&gt;0,$H23=0),"אין נתוני מועמדים לחישוב","")</f>
        <v/>
      </c>
    </row>
    <row r="24">
      <c r="A24" t="inlineStr">
        <is>
          <t>זמן ישראל</t>
        </is>
      </c>
      <c r="B24">
        <f>INDEX('סקרים לפי ערוץ'!$B:$B,MATCH($A24,'סקרים לפי ערוץ'!$A:$A,0))</f>
        <v/>
      </c>
      <c r="C24" t="inlineStr">
        <is>
          <t>ביחד (בנט-לפיד)</t>
        </is>
      </c>
      <c r="D24">
        <f>INDEX('סקרים לפי ערוץ'!O:O,MATCH($A24,'סקרים לפי ערוץ'!$A:$A,0))</f>
        <v/>
      </c>
      <c r="E24">
        <f>COUNTIFS('מועמדים 2026'!$A:$A,$C24,'מועמדים 2026'!$D:$D,"נ",'מועמדים 2026'!$B:$B,"&lt;="&amp;$D24)</f>
        <v/>
      </c>
      <c r="F24">
        <f>COUNTIFS('מועמדים 2026'!$A:$A,$C24,'מועמדים 2026'!$D:$D,"ז",'מועמדים 2026'!$B:$B,"&lt;="&amp;$D24)</f>
        <v/>
      </c>
      <c r="G24">
        <f>IF($D24=0,0,$E24/$D24)</f>
        <v/>
      </c>
      <c r="H24">
        <f>COUNTIFS('מועמדים 2026'!$A:$A,$C24)</f>
        <v/>
      </c>
      <c r="I24">
        <f>IF(AND($D24&gt;0,$H24=0),"אין נתוני מועמדים לחישוב","")</f>
        <v/>
      </c>
    </row>
    <row r="25">
      <c r="A25" t="inlineStr">
        <is>
          <t>זמן ישראל</t>
        </is>
      </c>
      <c r="B25">
        <f>INDEX('סקרים לפי ערוץ'!$B:$B,MATCH($A25,'סקרים לפי ערוץ'!$A:$A,0))</f>
        <v/>
      </c>
      <c r="C25" t="inlineStr">
        <is>
          <t>ישר!</t>
        </is>
      </c>
      <c r="D25">
        <f>INDEX('סקרים לפי ערוץ'!P:P,MATCH($A25,'סקרים לפי ערוץ'!$A:$A,0))</f>
        <v/>
      </c>
      <c r="E25">
        <f>COUNTIFS('מועמדים 2026'!$A:$A,$C25,'מועמדים 2026'!$D:$D,"נ",'מועמדים 2026'!$B:$B,"&lt;="&amp;$D25)</f>
        <v/>
      </c>
      <c r="F25">
        <f>COUNTIFS('מועמדים 2026'!$A:$A,$C25,'מועמדים 2026'!$D:$D,"ז",'מועמדים 2026'!$B:$B,"&lt;="&amp;$D25)</f>
        <v/>
      </c>
      <c r="G25">
        <f>IF($D25=0,0,$E25/$D25)</f>
        <v/>
      </c>
      <c r="H25">
        <f>COUNTIFS('מועמדים 2026'!$A:$A,$C25)</f>
        <v/>
      </c>
      <c r="I25">
        <f>IF(AND($D25&gt;0,$H25=0),"אין נתוני מועמדים לחישוב","")</f>
        <v/>
      </c>
    </row>
    <row r="26">
      <c r="A26" t="inlineStr">
        <is>
          <t>חדשות 13</t>
        </is>
      </c>
      <c r="B26">
        <f>INDEX('סקרים לפי ערוץ'!$B:$B,MATCH($A26,'סקרים לפי ערוץ'!$A:$A,0))</f>
        <v/>
      </c>
      <c r="C26" t="inlineStr">
        <is>
          <t>הליכוד</t>
        </is>
      </c>
      <c r="D26">
        <f>INDEX('סקרים לפי ערוץ'!E:E,MATCH($A26,'סקרים לפי ערוץ'!$A:$A,0))</f>
        <v/>
      </c>
      <c r="E26">
        <f>COUNTIFS('מועמדים 2026'!$A:$A,$C26,'מועמדים 2026'!$D:$D,"נ",'מועמדים 2026'!$B:$B,"&lt;="&amp;$D26)</f>
        <v/>
      </c>
      <c r="F26">
        <f>COUNTIFS('מועמדים 2026'!$A:$A,$C26,'מועמדים 2026'!$D:$D,"ז",'מועמדים 2026'!$B:$B,"&lt;="&amp;$D26)</f>
        <v/>
      </c>
      <c r="G26">
        <f>IF($D26=0,0,$E26/$D26)</f>
        <v/>
      </c>
      <c r="H26">
        <f>COUNTIFS('מועמדים 2026'!$A:$A,$C26)</f>
        <v/>
      </c>
      <c r="I26">
        <f>IF(AND($D26&gt;0,$H26=0),"אין נתוני מועמדים לחישוב","")</f>
        <v/>
      </c>
    </row>
    <row r="27">
      <c r="A27" t="inlineStr">
        <is>
          <t>חדשות 13</t>
        </is>
      </c>
      <c r="B27">
        <f>INDEX('סקרים לפי ערוץ'!$B:$B,MATCH($A27,'סקרים לפי ערוץ'!$A:$A,0))</f>
        <v/>
      </c>
      <c r="C27" t="inlineStr">
        <is>
          <t>יהדות התורה</t>
        </is>
      </c>
      <c r="D27">
        <f>INDEX('סקרים לפי ערוץ'!F:F,MATCH($A27,'סקרים לפי ערוץ'!$A:$A,0))</f>
        <v/>
      </c>
      <c r="E27">
        <f>COUNTIFS('מועמדים 2026'!$A:$A,$C27,'מועמדים 2026'!$D:$D,"נ",'מועמדים 2026'!$B:$B,"&lt;="&amp;$D27)</f>
        <v/>
      </c>
      <c r="F27">
        <f>COUNTIFS('מועמדים 2026'!$A:$A,$C27,'מועמדים 2026'!$D:$D,"ז",'מועמדים 2026'!$B:$B,"&lt;="&amp;$D27)</f>
        <v/>
      </c>
      <c r="G27">
        <f>IF($D27=0,0,$E27/$D27)</f>
        <v/>
      </c>
      <c r="H27">
        <f>COUNTIFS('מועמדים 2026'!$A:$A,$C27)</f>
        <v/>
      </c>
      <c r="I27">
        <f>IF(AND($D27&gt;0,$H27=0),"אין נתוני מועמדים לחישוב","")</f>
        <v/>
      </c>
    </row>
    <row r="28">
      <c r="A28" t="inlineStr">
        <is>
          <t>חדשות 13</t>
        </is>
      </c>
      <c r="B28">
        <f>INDEX('סקרים לפי ערוץ'!$B:$B,MATCH($A28,'סקרים לפי ערוץ'!$A:$A,0))</f>
        <v/>
      </c>
      <c r="C28" t="inlineStr">
        <is>
          <t>ש"ס</t>
        </is>
      </c>
      <c r="D28">
        <f>INDEX('סקרים לפי ערוץ'!G:G,MATCH($A28,'סקרים לפי ערוץ'!$A:$A,0))</f>
        <v/>
      </c>
      <c r="E28">
        <f>COUNTIFS('מועמדים 2026'!$A:$A,$C28,'מועמדים 2026'!$D:$D,"נ",'מועמדים 2026'!$B:$B,"&lt;="&amp;$D28)</f>
        <v/>
      </c>
      <c r="F28">
        <f>COUNTIFS('מועמדים 2026'!$A:$A,$C28,'מועמדים 2026'!$D:$D,"ז",'מועמדים 2026'!$B:$B,"&lt;="&amp;$D28)</f>
        <v/>
      </c>
      <c r="G28">
        <f>IF($D28=0,0,$E28/$D28)</f>
        <v/>
      </c>
      <c r="H28">
        <f>COUNTIFS('מועמדים 2026'!$A:$A,$C28)</f>
        <v/>
      </c>
      <c r="I28">
        <f>IF(AND($D28&gt;0,$H28=0),"אין נתוני מועמדים לחישוב","")</f>
        <v/>
      </c>
    </row>
    <row r="29">
      <c r="A29" t="inlineStr">
        <is>
          <t>חדשות 13</t>
        </is>
      </c>
      <c r="B29">
        <f>INDEX('סקרים לפי ערוץ'!$B:$B,MATCH($A29,'סקרים לפי ערוץ'!$A:$A,0))</f>
        <v/>
      </c>
      <c r="C29" t="inlineStr">
        <is>
          <t>כחול לבן</t>
        </is>
      </c>
      <c r="D29">
        <f>INDEX('סקרים לפי ערוץ'!H:H,MATCH($A29,'סקרים לפי ערוץ'!$A:$A,0))</f>
        <v/>
      </c>
      <c r="E29">
        <f>COUNTIFS('מועמדים 2026'!$A:$A,$C29,'מועמדים 2026'!$D:$D,"נ",'מועמדים 2026'!$B:$B,"&lt;="&amp;$D29)</f>
        <v/>
      </c>
      <c r="F29">
        <f>COUNTIFS('מועמדים 2026'!$A:$A,$C29,'מועמדים 2026'!$D:$D,"ז",'מועמדים 2026'!$B:$B,"&lt;="&amp;$D29)</f>
        <v/>
      </c>
      <c r="G29">
        <f>IF($D29=0,0,$E29/$D29)</f>
        <v/>
      </c>
      <c r="H29">
        <f>COUNTIFS('מועמדים 2026'!$A:$A,$C29)</f>
        <v/>
      </c>
      <c r="I29">
        <f>IF(AND($D29&gt;0,$H29=0),"אין נתוני מועמדים לחישוב","")</f>
        <v/>
      </c>
    </row>
    <row r="30">
      <c r="A30" t="inlineStr">
        <is>
          <t>חדשות 13</t>
        </is>
      </c>
      <c r="B30">
        <f>INDEX('סקרים לפי ערוץ'!$B:$B,MATCH($A30,'סקרים לפי ערוץ'!$A:$A,0))</f>
        <v/>
      </c>
      <c r="C30" t="inlineStr">
        <is>
          <t>חדש תע"ל</t>
        </is>
      </c>
      <c r="D30">
        <f>INDEX('סקרים לפי ערוץ'!I:I,MATCH($A30,'סקרים לפי ערוץ'!$A:$A,0))</f>
        <v/>
      </c>
      <c r="E30">
        <f>COUNTIFS('מועמדים 2026'!$A:$A,$C30,'מועמדים 2026'!$D:$D,"נ",'מועמדים 2026'!$B:$B,"&lt;="&amp;$D30)</f>
        <v/>
      </c>
      <c r="F30">
        <f>COUNTIFS('מועמדים 2026'!$A:$A,$C30,'מועמדים 2026'!$D:$D,"ז",'מועמדים 2026'!$B:$B,"&lt;="&amp;$D30)</f>
        <v/>
      </c>
      <c r="G30">
        <f>IF($D30=0,0,$E30/$D30)</f>
        <v/>
      </c>
      <c r="H30">
        <f>COUNTIFS('מועמדים 2026'!$A:$A,$C30)</f>
        <v/>
      </c>
      <c r="I30">
        <f>IF(AND($D30&gt;0,$H30=0),"אין נתוני מועמדים לחישוב","")</f>
        <v/>
      </c>
    </row>
    <row r="31">
      <c r="A31" t="inlineStr">
        <is>
          <t>חדשות 13</t>
        </is>
      </c>
      <c r="B31">
        <f>INDEX('סקרים לפי ערוץ'!$B:$B,MATCH($A31,'סקרים לפי ערוץ'!$A:$A,0))</f>
        <v/>
      </c>
      <c r="C31" t="inlineStr">
        <is>
          <t>ישראל ביתנו</t>
        </is>
      </c>
      <c r="D31">
        <f>INDEX('סקרים לפי ערוץ'!J:J,MATCH($A31,'סקרים לפי ערוץ'!$A:$A,0))</f>
        <v/>
      </c>
      <c r="E31">
        <f>COUNTIFS('מועמדים 2026'!$A:$A,$C31,'מועמדים 2026'!$D:$D,"נ",'מועמדים 2026'!$B:$B,"&lt;="&amp;$D31)</f>
        <v/>
      </c>
      <c r="F31">
        <f>COUNTIFS('מועמדים 2026'!$A:$A,$C31,'מועמדים 2026'!$D:$D,"ז",'מועמדים 2026'!$B:$B,"&lt;="&amp;$D31)</f>
        <v/>
      </c>
      <c r="G31">
        <f>IF($D31=0,0,$E31/$D31)</f>
        <v/>
      </c>
      <c r="H31">
        <f>COUNTIFS('מועמדים 2026'!$A:$A,$C31)</f>
        <v/>
      </c>
      <c r="I31">
        <f>IF(AND($D31&gt;0,$H31=0),"אין נתוני מועמדים לחישוב","")</f>
        <v/>
      </c>
    </row>
    <row r="32">
      <c r="A32" t="inlineStr">
        <is>
          <t>חדשות 13</t>
        </is>
      </c>
      <c r="B32">
        <f>INDEX('סקרים לפי ערוץ'!$B:$B,MATCH($A32,'סקרים לפי ערוץ'!$A:$A,0))</f>
        <v/>
      </c>
      <c r="C32" t="inlineStr">
        <is>
          <t>הדמוקרטים</t>
        </is>
      </c>
      <c r="D32">
        <f>INDEX('סקרים לפי ערוץ'!K:K,MATCH($A32,'סקרים לפי ערוץ'!$A:$A,0))</f>
        <v/>
      </c>
      <c r="E32">
        <f>COUNTIFS('מועמדים 2026'!$A:$A,$C32,'מועמדים 2026'!$D:$D,"נ",'מועמדים 2026'!$B:$B,"&lt;="&amp;$D32)</f>
        <v/>
      </c>
      <c r="F32">
        <f>COUNTIFS('מועמדים 2026'!$A:$A,$C32,'מועמדים 2026'!$D:$D,"ז",'מועמדים 2026'!$B:$B,"&lt;="&amp;$D32)</f>
        <v/>
      </c>
      <c r="G32">
        <f>IF($D32=0,0,$E32/$D32)</f>
        <v/>
      </c>
      <c r="H32">
        <f>COUNTIFS('מועמדים 2026'!$A:$A,$C32)</f>
        <v/>
      </c>
      <c r="I32">
        <f>IF(AND($D32&gt;0,$H32=0),"אין נתוני מועמדים לחישוב","")</f>
        <v/>
      </c>
    </row>
    <row r="33">
      <c r="A33" t="inlineStr">
        <is>
          <t>חדשות 13</t>
        </is>
      </c>
      <c r="B33">
        <f>INDEX('סקרים לפי ערוץ'!$B:$B,MATCH($A33,'סקרים לפי ערוץ'!$A:$A,0))</f>
        <v/>
      </c>
      <c r="C33" t="inlineStr">
        <is>
          <t>הציונות הדתית</t>
        </is>
      </c>
      <c r="D33">
        <f>INDEX('סקרים לפי ערוץ'!L:L,MATCH($A33,'סקרים לפי ערוץ'!$A:$A,0))</f>
        <v/>
      </c>
      <c r="E33">
        <f>COUNTIFS('מועמדים 2026'!$A:$A,$C33,'מועמדים 2026'!$D:$D,"נ",'מועמדים 2026'!$B:$B,"&lt;="&amp;$D33)</f>
        <v/>
      </c>
      <c r="F33">
        <f>COUNTIFS('מועמדים 2026'!$A:$A,$C33,'מועמדים 2026'!$D:$D,"ז",'מועמדים 2026'!$B:$B,"&lt;="&amp;$D33)</f>
        <v/>
      </c>
      <c r="G33">
        <f>IF($D33=0,0,$E33/$D33)</f>
        <v/>
      </c>
      <c r="H33">
        <f>COUNTIFS('מועמדים 2026'!$A:$A,$C33)</f>
        <v/>
      </c>
      <c r="I33">
        <f>IF(AND($D33&gt;0,$H33=0),"אין נתוני מועמדים לחישוב","")</f>
        <v/>
      </c>
    </row>
    <row r="34">
      <c r="A34" t="inlineStr">
        <is>
          <t>חדשות 13</t>
        </is>
      </c>
      <c r="B34">
        <f>INDEX('סקרים לפי ערוץ'!$B:$B,MATCH($A34,'סקרים לפי ערוץ'!$A:$A,0))</f>
        <v/>
      </c>
      <c r="C34" t="inlineStr">
        <is>
          <t>רע"מ</t>
        </is>
      </c>
      <c r="D34">
        <f>INDEX('סקרים לפי ערוץ'!M:M,MATCH($A34,'סקרים לפי ערוץ'!$A:$A,0))</f>
        <v/>
      </c>
      <c r="E34">
        <f>COUNTIFS('מועמדים 2026'!$A:$A,$C34,'מועמדים 2026'!$D:$D,"נ",'מועמדים 2026'!$B:$B,"&lt;="&amp;$D34)</f>
        <v/>
      </c>
      <c r="F34">
        <f>COUNTIFS('מועמדים 2026'!$A:$A,$C34,'מועמדים 2026'!$D:$D,"ז",'מועמדים 2026'!$B:$B,"&lt;="&amp;$D34)</f>
        <v/>
      </c>
      <c r="G34">
        <f>IF($D34=0,0,$E34/$D34)</f>
        <v/>
      </c>
      <c r="H34">
        <f>COUNTIFS('מועמדים 2026'!$A:$A,$C34)</f>
        <v/>
      </c>
      <c r="I34">
        <f>IF(AND($D34&gt;0,$H34=0),"אין נתוני מועמדים לחישוב","")</f>
        <v/>
      </c>
    </row>
    <row r="35">
      <c r="A35" t="inlineStr">
        <is>
          <t>חדשות 13</t>
        </is>
      </c>
      <c r="B35">
        <f>INDEX('סקרים לפי ערוץ'!$B:$B,MATCH($A35,'סקרים לפי ערוץ'!$A:$A,0))</f>
        <v/>
      </c>
      <c r="C35" t="inlineStr">
        <is>
          <t>עוצמה יהודית</t>
        </is>
      </c>
      <c r="D35">
        <f>INDEX('סקרים לפי ערוץ'!N:N,MATCH($A35,'סקרים לפי ערוץ'!$A:$A,0))</f>
        <v/>
      </c>
      <c r="E35">
        <f>COUNTIFS('מועמדים 2026'!$A:$A,$C35,'מועמדים 2026'!$D:$D,"נ",'מועמדים 2026'!$B:$B,"&lt;="&amp;$D35)</f>
        <v/>
      </c>
      <c r="F35">
        <f>COUNTIFS('מועמדים 2026'!$A:$A,$C35,'מועמדים 2026'!$D:$D,"ז",'מועמדים 2026'!$B:$B,"&lt;="&amp;$D35)</f>
        <v/>
      </c>
      <c r="G35">
        <f>IF($D35=0,0,$E35/$D35)</f>
        <v/>
      </c>
      <c r="H35">
        <f>COUNTIFS('מועמדים 2026'!$A:$A,$C35)</f>
        <v/>
      </c>
      <c r="I35">
        <f>IF(AND($D35&gt;0,$H35=0),"אין נתוני מועמדים לחישוב","")</f>
        <v/>
      </c>
    </row>
    <row r="36">
      <c r="A36" t="inlineStr">
        <is>
          <t>חדשות 13</t>
        </is>
      </c>
      <c r="B36">
        <f>INDEX('סקרים לפי ערוץ'!$B:$B,MATCH($A36,'סקרים לפי ערוץ'!$A:$A,0))</f>
        <v/>
      </c>
      <c r="C36" t="inlineStr">
        <is>
          <t>ביחד (בנט-לפיד)</t>
        </is>
      </c>
      <c r="D36">
        <f>INDEX('סקרים לפי ערוץ'!O:O,MATCH($A36,'סקרים לפי ערוץ'!$A:$A,0))</f>
        <v/>
      </c>
      <c r="E36">
        <f>COUNTIFS('מועמדים 2026'!$A:$A,$C36,'מועמדים 2026'!$D:$D,"נ",'מועמדים 2026'!$B:$B,"&lt;="&amp;$D36)</f>
        <v/>
      </c>
      <c r="F36">
        <f>COUNTIFS('מועמדים 2026'!$A:$A,$C36,'מועמדים 2026'!$D:$D,"ז",'מועמדים 2026'!$B:$B,"&lt;="&amp;$D36)</f>
        <v/>
      </c>
      <c r="G36">
        <f>IF($D36=0,0,$E36/$D36)</f>
        <v/>
      </c>
      <c r="H36">
        <f>COUNTIFS('מועמדים 2026'!$A:$A,$C36)</f>
        <v/>
      </c>
      <c r="I36">
        <f>IF(AND($D36&gt;0,$H36=0),"אין נתוני מועמדים לחישוב","")</f>
        <v/>
      </c>
    </row>
    <row r="37">
      <c r="A37" t="inlineStr">
        <is>
          <t>חדשות 13</t>
        </is>
      </c>
      <c r="B37">
        <f>INDEX('סקרים לפי ערוץ'!$B:$B,MATCH($A37,'סקרים לפי ערוץ'!$A:$A,0))</f>
        <v/>
      </c>
      <c r="C37" t="inlineStr">
        <is>
          <t>ישר!</t>
        </is>
      </c>
      <c r="D37">
        <f>INDEX('סקרים לפי ערוץ'!P:P,MATCH($A37,'סקרים לפי ערוץ'!$A:$A,0))</f>
        <v/>
      </c>
      <c r="E37">
        <f>COUNTIFS('מועמדים 2026'!$A:$A,$C37,'מועמדים 2026'!$D:$D,"נ",'מועמדים 2026'!$B:$B,"&lt;="&amp;$D37)</f>
        <v/>
      </c>
      <c r="F37">
        <f>COUNTIFS('מועמדים 2026'!$A:$A,$C37,'מועמדים 2026'!$D:$D,"ז",'מועמדים 2026'!$B:$B,"&lt;="&amp;$D37)</f>
        <v/>
      </c>
      <c r="G37">
        <f>IF($D37=0,0,$E37/$D37)</f>
        <v/>
      </c>
      <c r="H37">
        <f>COUNTIFS('מועמדים 2026'!$A:$A,$C37)</f>
        <v/>
      </c>
      <c r="I37">
        <f>IF(AND($D37&gt;0,$H37=0),"אין נתוני מועמדים לחישוב","")</f>
        <v/>
      </c>
    </row>
    <row r="38">
      <c r="A38" t="inlineStr">
        <is>
          <t>ערוץ 14</t>
        </is>
      </c>
      <c r="B38">
        <f>INDEX('סקרים לפי ערוץ'!$B:$B,MATCH($A38,'סקרים לפי ערוץ'!$A:$A,0))</f>
        <v/>
      </c>
      <c r="C38" t="inlineStr">
        <is>
          <t>הליכוד</t>
        </is>
      </c>
      <c r="D38">
        <f>INDEX('סקרים לפי ערוץ'!E:E,MATCH($A38,'סקרים לפי ערוץ'!$A:$A,0))</f>
        <v/>
      </c>
      <c r="E38">
        <f>COUNTIFS('מועמדים 2026'!$A:$A,$C38,'מועמדים 2026'!$D:$D,"נ",'מועמדים 2026'!$B:$B,"&lt;="&amp;$D38)</f>
        <v/>
      </c>
      <c r="F38">
        <f>COUNTIFS('מועמדים 2026'!$A:$A,$C38,'מועמדים 2026'!$D:$D,"ז",'מועמדים 2026'!$B:$B,"&lt;="&amp;$D38)</f>
        <v/>
      </c>
      <c r="G38">
        <f>IF($D38=0,0,$E38/$D38)</f>
        <v/>
      </c>
      <c r="H38">
        <f>COUNTIFS('מועמדים 2026'!$A:$A,$C38)</f>
        <v/>
      </c>
      <c r="I38">
        <f>IF(AND($D38&gt;0,$H38=0),"אין נתוני מועמדים לחישוב","")</f>
        <v/>
      </c>
    </row>
    <row r="39">
      <c r="A39" t="inlineStr">
        <is>
          <t>ערוץ 14</t>
        </is>
      </c>
      <c r="B39">
        <f>INDEX('סקרים לפי ערוץ'!$B:$B,MATCH($A39,'סקרים לפי ערוץ'!$A:$A,0))</f>
        <v/>
      </c>
      <c r="C39" t="inlineStr">
        <is>
          <t>יהדות התורה</t>
        </is>
      </c>
      <c r="D39">
        <f>INDEX('סקרים לפי ערוץ'!F:F,MATCH($A39,'סקרים לפי ערוץ'!$A:$A,0))</f>
        <v/>
      </c>
      <c r="E39">
        <f>COUNTIFS('מועמדים 2026'!$A:$A,$C39,'מועמדים 2026'!$D:$D,"נ",'מועמדים 2026'!$B:$B,"&lt;="&amp;$D39)</f>
        <v/>
      </c>
      <c r="F39">
        <f>COUNTIFS('מועמדים 2026'!$A:$A,$C39,'מועמדים 2026'!$D:$D,"ז",'מועמדים 2026'!$B:$B,"&lt;="&amp;$D39)</f>
        <v/>
      </c>
      <c r="G39">
        <f>IF($D39=0,0,$E39/$D39)</f>
        <v/>
      </c>
      <c r="H39">
        <f>COUNTIFS('מועמדים 2026'!$A:$A,$C39)</f>
        <v/>
      </c>
      <c r="I39">
        <f>IF(AND($D39&gt;0,$H39=0),"אין נתוני מועמדים לחישוב","")</f>
        <v/>
      </c>
    </row>
    <row r="40">
      <c r="A40" t="inlineStr">
        <is>
          <t>ערוץ 14</t>
        </is>
      </c>
      <c r="B40">
        <f>INDEX('סקרים לפי ערוץ'!$B:$B,MATCH($A40,'סקרים לפי ערוץ'!$A:$A,0))</f>
        <v/>
      </c>
      <c r="C40" t="inlineStr">
        <is>
          <t>ש"ס</t>
        </is>
      </c>
      <c r="D40">
        <f>INDEX('סקרים לפי ערוץ'!G:G,MATCH($A40,'סקרים לפי ערוץ'!$A:$A,0))</f>
        <v/>
      </c>
      <c r="E40">
        <f>COUNTIFS('מועמדים 2026'!$A:$A,$C40,'מועמדים 2026'!$D:$D,"נ",'מועמדים 2026'!$B:$B,"&lt;="&amp;$D40)</f>
        <v/>
      </c>
      <c r="F40">
        <f>COUNTIFS('מועמדים 2026'!$A:$A,$C40,'מועמדים 2026'!$D:$D,"ז",'מועמדים 2026'!$B:$B,"&lt;="&amp;$D40)</f>
        <v/>
      </c>
      <c r="G40">
        <f>IF($D40=0,0,$E40/$D40)</f>
        <v/>
      </c>
      <c r="H40">
        <f>COUNTIFS('מועמדים 2026'!$A:$A,$C40)</f>
        <v/>
      </c>
      <c r="I40">
        <f>IF(AND($D40&gt;0,$H40=0),"אין נתוני מועמדים לחישוב","")</f>
        <v/>
      </c>
    </row>
    <row r="41">
      <c r="A41" t="inlineStr">
        <is>
          <t>ערוץ 14</t>
        </is>
      </c>
      <c r="B41">
        <f>INDEX('סקרים לפי ערוץ'!$B:$B,MATCH($A41,'סקרים לפי ערוץ'!$A:$A,0))</f>
        <v/>
      </c>
      <c r="C41" t="inlineStr">
        <is>
          <t>כחול לבן</t>
        </is>
      </c>
      <c r="D41">
        <f>INDEX('סקרים לפי ערוץ'!H:H,MATCH($A41,'סקרים לפי ערוץ'!$A:$A,0))</f>
        <v/>
      </c>
      <c r="E41">
        <f>COUNTIFS('מועמדים 2026'!$A:$A,$C41,'מועמדים 2026'!$D:$D,"נ",'מועמדים 2026'!$B:$B,"&lt;="&amp;$D41)</f>
        <v/>
      </c>
      <c r="F41">
        <f>COUNTIFS('מועמדים 2026'!$A:$A,$C41,'מועמדים 2026'!$D:$D,"ז",'מועמדים 2026'!$B:$B,"&lt;="&amp;$D41)</f>
        <v/>
      </c>
      <c r="G41">
        <f>IF($D41=0,0,$E41/$D41)</f>
        <v/>
      </c>
      <c r="H41">
        <f>COUNTIFS('מועמדים 2026'!$A:$A,$C41)</f>
        <v/>
      </c>
      <c r="I41">
        <f>IF(AND($D41&gt;0,$H41=0),"אין נתוני מועמדים לחישוב","")</f>
        <v/>
      </c>
    </row>
    <row r="42">
      <c r="A42" t="inlineStr">
        <is>
          <t>ערוץ 14</t>
        </is>
      </c>
      <c r="B42">
        <f>INDEX('סקרים לפי ערוץ'!$B:$B,MATCH($A42,'סקרים לפי ערוץ'!$A:$A,0))</f>
        <v/>
      </c>
      <c r="C42" t="inlineStr">
        <is>
          <t>חדש תע"ל</t>
        </is>
      </c>
      <c r="D42">
        <f>INDEX('סקרים לפי ערוץ'!I:I,MATCH($A42,'סקרים לפי ערוץ'!$A:$A,0))</f>
        <v/>
      </c>
      <c r="E42">
        <f>COUNTIFS('מועמדים 2026'!$A:$A,$C42,'מועמדים 2026'!$D:$D,"נ",'מועמדים 2026'!$B:$B,"&lt;="&amp;$D42)</f>
        <v/>
      </c>
      <c r="F42">
        <f>COUNTIFS('מועמדים 2026'!$A:$A,$C42,'מועמדים 2026'!$D:$D,"ז",'מועמדים 2026'!$B:$B,"&lt;="&amp;$D42)</f>
        <v/>
      </c>
      <c r="G42">
        <f>IF($D42=0,0,$E42/$D42)</f>
        <v/>
      </c>
      <c r="H42">
        <f>COUNTIFS('מועמדים 2026'!$A:$A,$C42)</f>
        <v/>
      </c>
      <c r="I42">
        <f>IF(AND($D42&gt;0,$H42=0),"אין נתוני מועמדים לחישוב","")</f>
        <v/>
      </c>
    </row>
    <row r="43">
      <c r="A43" t="inlineStr">
        <is>
          <t>ערוץ 14</t>
        </is>
      </c>
      <c r="B43">
        <f>INDEX('סקרים לפי ערוץ'!$B:$B,MATCH($A43,'סקרים לפי ערוץ'!$A:$A,0))</f>
        <v/>
      </c>
      <c r="C43" t="inlineStr">
        <is>
          <t>ישראל ביתנו</t>
        </is>
      </c>
      <c r="D43">
        <f>INDEX('סקרים לפי ערוץ'!J:J,MATCH($A43,'סקרים לפי ערוץ'!$A:$A,0))</f>
        <v/>
      </c>
      <c r="E43">
        <f>COUNTIFS('מועמדים 2026'!$A:$A,$C43,'מועמדים 2026'!$D:$D,"נ",'מועמדים 2026'!$B:$B,"&lt;="&amp;$D43)</f>
        <v/>
      </c>
      <c r="F43">
        <f>COUNTIFS('מועמדים 2026'!$A:$A,$C43,'מועמדים 2026'!$D:$D,"ז",'מועמדים 2026'!$B:$B,"&lt;="&amp;$D43)</f>
        <v/>
      </c>
      <c r="G43">
        <f>IF($D43=0,0,$E43/$D43)</f>
        <v/>
      </c>
      <c r="H43">
        <f>COUNTIFS('מועמדים 2026'!$A:$A,$C43)</f>
        <v/>
      </c>
      <c r="I43">
        <f>IF(AND($D43&gt;0,$H43=0),"אין נתוני מועמדים לחישוב","")</f>
        <v/>
      </c>
    </row>
    <row r="44">
      <c r="A44" t="inlineStr">
        <is>
          <t>ערוץ 14</t>
        </is>
      </c>
      <c r="B44">
        <f>INDEX('סקרים לפי ערוץ'!$B:$B,MATCH($A44,'סקרים לפי ערוץ'!$A:$A,0))</f>
        <v/>
      </c>
      <c r="C44" t="inlineStr">
        <is>
          <t>הדמוקרטים</t>
        </is>
      </c>
      <c r="D44">
        <f>INDEX('סקרים לפי ערוץ'!K:K,MATCH($A44,'סקרים לפי ערוץ'!$A:$A,0))</f>
        <v/>
      </c>
      <c r="E44">
        <f>COUNTIFS('מועמדים 2026'!$A:$A,$C44,'מועמדים 2026'!$D:$D,"נ",'מועמדים 2026'!$B:$B,"&lt;="&amp;$D44)</f>
        <v/>
      </c>
      <c r="F44">
        <f>COUNTIFS('מועמדים 2026'!$A:$A,$C44,'מועמדים 2026'!$D:$D,"ז",'מועמדים 2026'!$B:$B,"&lt;="&amp;$D44)</f>
        <v/>
      </c>
      <c r="G44">
        <f>IF($D44=0,0,$E44/$D44)</f>
        <v/>
      </c>
      <c r="H44">
        <f>COUNTIFS('מועמדים 2026'!$A:$A,$C44)</f>
        <v/>
      </c>
      <c r="I44">
        <f>IF(AND($D44&gt;0,$H44=0),"אין נתוני מועמדים לחישוב","")</f>
        <v/>
      </c>
    </row>
    <row r="45">
      <c r="A45" t="inlineStr">
        <is>
          <t>ערוץ 14</t>
        </is>
      </c>
      <c r="B45">
        <f>INDEX('סקרים לפי ערוץ'!$B:$B,MATCH($A45,'סקרים לפי ערוץ'!$A:$A,0))</f>
        <v/>
      </c>
      <c r="C45" t="inlineStr">
        <is>
          <t>הציונות הדתית</t>
        </is>
      </c>
      <c r="D45">
        <f>INDEX('סקרים לפי ערוץ'!L:L,MATCH($A45,'סקרים לפי ערוץ'!$A:$A,0))</f>
        <v/>
      </c>
      <c r="E45">
        <f>COUNTIFS('מועמדים 2026'!$A:$A,$C45,'מועמדים 2026'!$D:$D,"נ",'מועמדים 2026'!$B:$B,"&lt;="&amp;$D45)</f>
        <v/>
      </c>
      <c r="F45">
        <f>COUNTIFS('מועמדים 2026'!$A:$A,$C45,'מועמדים 2026'!$D:$D,"ז",'מועמדים 2026'!$B:$B,"&lt;="&amp;$D45)</f>
        <v/>
      </c>
      <c r="G45">
        <f>IF($D45=0,0,$E45/$D45)</f>
        <v/>
      </c>
      <c r="H45">
        <f>COUNTIFS('מועמדים 2026'!$A:$A,$C45)</f>
        <v/>
      </c>
      <c r="I45">
        <f>IF(AND($D45&gt;0,$H45=0),"אין נתוני מועמדים לחישוב","")</f>
        <v/>
      </c>
    </row>
    <row r="46">
      <c r="A46" t="inlineStr">
        <is>
          <t>ערוץ 14</t>
        </is>
      </c>
      <c r="B46">
        <f>INDEX('סקרים לפי ערוץ'!$B:$B,MATCH($A46,'סקרים לפי ערוץ'!$A:$A,0))</f>
        <v/>
      </c>
      <c r="C46" t="inlineStr">
        <is>
          <t>רע"מ</t>
        </is>
      </c>
      <c r="D46">
        <f>INDEX('סקרים לפי ערוץ'!M:M,MATCH($A46,'סקרים לפי ערוץ'!$A:$A,0))</f>
        <v/>
      </c>
      <c r="E46">
        <f>COUNTIFS('מועמדים 2026'!$A:$A,$C46,'מועמדים 2026'!$D:$D,"נ",'מועמדים 2026'!$B:$B,"&lt;="&amp;$D46)</f>
        <v/>
      </c>
      <c r="F46">
        <f>COUNTIFS('מועמדים 2026'!$A:$A,$C46,'מועמדים 2026'!$D:$D,"ז",'מועמדים 2026'!$B:$B,"&lt;="&amp;$D46)</f>
        <v/>
      </c>
      <c r="G46">
        <f>IF($D46=0,0,$E46/$D46)</f>
        <v/>
      </c>
      <c r="H46">
        <f>COUNTIFS('מועמדים 2026'!$A:$A,$C46)</f>
        <v/>
      </c>
      <c r="I46">
        <f>IF(AND($D46&gt;0,$H46=0),"אין נתוני מועמדים לחישוב","")</f>
        <v/>
      </c>
    </row>
    <row r="47">
      <c r="A47" t="inlineStr">
        <is>
          <t>ערוץ 14</t>
        </is>
      </c>
      <c r="B47">
        <f>INDEX('סקרים לפי ערוץ'!$B:$B,MATCH($A47,'סקרים לפי ערוץ'!$A:$A,0))</f>
        <v/>
      </c>
      <c r="C47" t="inlineStr">
        <is>
          <t>עוצמה יהודית</t>
        </is>
      </c>
      <c r="D47">
        <f>INDEX('סקרים לפי ערוץ'!N:N,MATCH($A47,'סקרים לפי ערוץ'!$A:$A,0))</f>
        <v/>
      </c>
      <c r="E47">
        <f>COUNTIFS('מועמדים 2026'!$A:$A,$C47,'מועמדים 2026'!$D:$D,"נ",'מועמדים 2026'!$B:$B,"&lt;="&amp;$D47)</f>
        <v/>
      </c>
      <c r="F47">
        <f>COUNTIFS('מועמדים 2026'!$A:$A,$C47,'מועמדים 2026'!$D:$D,"ז",'מועמדים 2026'!$B:$B,"&lt;="&amp;$D47)</f>
        <v/>
      </c>
      <c r="G47">
        <f>IF($D47=0,0,$E47/$D47)</f>
        <v/>
      </c>
      <c r="H47">
        <f>COUNTIFS('מועמדים 2026'!$A:$A,$C47)</f>
        <v/>
      </c>
      <c r="I47">
        <f>IF(AND($D47&gt;0,$H47=0),"אין נתוני מועמדים לחישוב","")</f>
        <v/>
      </c>
    </row>
    <row r="48">
      <c r="A48" t="inlineStr">
        <is>
          <t>ערוץ 14</t>
        </is>
      </c>
      <c r="B48">
        <f>INDEX('סקרים לפי ערוץ'!$B:$B,MATCH($A48,'סקרים לפי ערוץ'!$A:$A,0))</f>
        <v/>
      </c>
      <c r="C48" t="inlineStr">
        <is>
          <t>ביחד (בנט-לפיד)</t>
        </is>
      </c>
      <c r="D48">
        <f>INDEX('סקרים לפי ערוץ'!O:O,MATCH($A48,'סקרים לפי ערוץ'!$A:$A,0))</f>
        <v/>
      </c>
      <c r="E48">
        <f>COUNTIFS('מועמדים 2026'!$A:$A,$C48,'מועמדים 2026'!$D:$D,"נ",'מועמדים 2026'!$B:$B,"&lt;="&amp;$D48)</f>
        <v/>
      </c>
      <c r="F48">
        <f>COUNTIFS('מועמדים 2026'!$A:$A,$C48,'מועמדים 2026'!$D:$D,"ז",'מועמדים 2026'!$B:$B,"&lt;="&amp;$D48)</f>
        <v/>
      </c>
      <c r="G48">
        <f>IF($D48=0,0,$E48/$D48)</f>
        <v/>
      </c>
      <c r="H48">
        <f>COUNTIFS('מועמדים 2026'!$A:$A,$C48)</f>
        <v/>
      </c>
      <c r="I48">
        <f>IF(AND($D48&gt;0,$H48=0),"אין נתוני מועמדים לחישוב","")</f>
        <v/>
      </c>
    </row>
    <row r="49">
      <c r="A49" t="inlineStr">
        <is>
          <t>ערוץ 14</t>
        </is>
      </c>
      <c r="B49">
        <f>INDEX('סקרים לפי ערוץ'!$B:$B,MATCH($A49,'סקרים לפי ערוץ'!$A:$A,0))</f>
        <v/>
      </c>
      <c r="C49" t="inlineStr">
        <is>
          <t>ישר!</t>
        </is>
      </c>
      <c r="D49">
        <f>INDEX('סקרים לפי ערוץ'!P:P,MATCH($A49,'סקרים לפי ערוץ'!$A:$A,0))</f>
        <v/>
      </c>
      <c r="E49">
        <f>COUNTIFS('מועמדים 2026'!$A:$A,$C49,'מועמדים 2026'!$D:$D,"נ",'מועמדים 2026'!$B:$B,"&lt;="&amp;$D49)</f>
        <v/>
      </c>
      <c r="F49">
        <f>COUNTIFS('מועמדים 2026'!$A:$A,$C49,'מועמדים 2026'!$D:$D,"ז",'מועמדים 2026'!$B:$B,"&lt;="&amp;$D49)</f>
        <v/>
      </c>
      <c r="G49">
        <f>IF($D49=0,0,$E49/$D49)</f>
        <v/>
      </c>
      <c r="H49">
        <f>COUNTIFS('מועמדים 2026'!$A:$A,$C49)</f>
        <v/>
      </c>
      <c r="I49">
        <f>IF(AND($D49&gt;0,$H49=0),"אין נתוני מועמדים לחישוב","")</f>
        <v/>
      </c>
    </row>
    <row r="50">
      <c r="A50" t="inlineStr">
        <is>
          <t>i24 news</t>
        </is>
      </c>
      <c r="B50">
        <f>INDEX('סקרים לפי ערוץ'!$B:$B,MATCH($A50,'סקרים לפי ערוץ'!$A:$A,0))</f>
        <v/>
      </c>
      <c r="C50" t="inlineStr">
        <is>
          <t>הליכוד</t>
        </is>
      </c>
      <c r="D50">
        <f>INDEX('סקרים לפי ערוץ'!E:E,MATCH($A50,'סקרים לפי ערוץ'!$A:$A,0))</f>
        <v/>
      </c>
      <c r="E50">
        <f>COUNTIFS('מועמדים 2026'!$A:$A,$C50,'מועמדים 2026'!$D:$D,"נ",'מועמדים 2026'!$B:$B,"&lt;="&amp;$D50)</f>
        <v/>
      </c>
      <c r="F50">
        <f>COUNTIFS('מועמדים 2026'!$A:$A,$C50,'מועמדים 2026'!$D:$D,"ז",'מועמדים 2026'!$B:$B,"&lt;="&amp;$D50)</f>
        <v/>
      </c>
      <c r="G50">
        <f>IF($D50=0,0,$E50/$D50)</f>
        <v/>
      </c>
      <c r="H50">
        <f>COUNTIFS('מועמדים 2026'!$A:$A,$C50)</f>
        <v/>
      </c>
      <c r="I50">
        <f>IF(AND($D50&gt;0,$H50=0),"אין נתוני מועמדים לחישוב","")</f>
        <v/>
      </c>
    </row>
    <row r="51">
      <c r="A51" t="inlineStr">
        <is>
          <t>i24 news</t>
        </is>
      </c>
      <c r="B51">
        <f>INDEX('סקרים לפי ערוץ'!$B:$B,MATCH($A51,'סקרים לפי ערוץ'!$A:$A,0))</f>
        <v/>
      </c>
      <c r="C51" t="inlineStr">
        <is>
          <t>יהדות התורה</t>
        </is>
      </c>
      <c r="D51">
        <f>INDEX('סקרים לפי ערוץ'!F:F,MATCH($A51,'סקרים לפי ערוץ'!$A:$A,0))</f>
        <v/>
      </c>
      <c r="E51">
        <f>COUNTIFS('מועמדים 2026'!$A:$A,$C51,'מועמדים 2026'!$D:$D,"נ",'מועמדים 2026'!$B:$B,"&lt;="&amp;$D51)</f>
        <v/>
      </c>
      <c r="F51">
        <f>COUNTIFS('מועמדים 2026'!$A:$A,$C51,'מועמדים 2026'!$D:$D,"ז",'מועמדים 2026'!$B:$B,"&lt;="&amp;$D51)</f>
        <v/>
      </c>
      <c r="G51">
        <f>IF($D51=0,0,$E51/$D51)</f>
        <v/>
      </c>
      <c r="H51">
        <f>COUNTIFS('מועמדים 2026'!$A:$A,$C51)</f>
        <v/>
      </c>
      <c r="I51">
        <f>IF(AND($D51&gt;0,$H51=0),"אין נתוני מועמדים לחישוב","")</f>
        <v/>
      </c>
    </row>
    <row r="52">
      <c r="A52" t="inlineStr">
        <is>
          <t>i24 news</t>
        </is>
      </c>
      <c r="B52">
        <f>INDEX('סקרים לפי ערוץ'!$B:$B,MATCH($A52,'סקרים לפי ערוץ'!$A:$A,0))</f>
        <v/>
      </c>
      <c r="C52" t="inlineStr">
        <is>
          <t>ש"ס</t>
        </is>
      </c>
      <c r="D52">
        <f>INDEX('סקרים לפי ערוץ'!G:G,MATCH($A52,'סקרים לפי ערוץ'!$A:$A,0))</f>
        <v/>
      </c>
      <c r="E52">
        <f>COUNTIFS('מועמדים 2026'!$A:$A,$C52,'מועמדים 2026'!$D:$D,"נ",'מועמדים 2026'!$B:$B,"&lt;="&amp;$D52)</f>
        <v/>
      </c>
      <c r="F52">
        <f>COUNTIFS('מועמדים 2026'!$A:$A,$C52,'מועמדים 2026'!$D:$D,"ז",'מועמדים 2026'!$B:$B,"&lt;="&amp;$D52)</f>
        <v/>
      </c>
      <c r="G52">
        <f>IF($D52=0,0,$E52/$D52)</f>
        <v/>
      </c>
      <c r="H52">
        <f>COUNTIFS('מועמדים 2026'!$A:$A,$C52)</f>
        <v/>
      </c>
      <c r="I52">
        <f>IF(AND($D52&gt;0,$H52=0),"אין נתוני מועמדים לחישוב","")</f>
        <v/>
      </c>
    </row>
    <row r="53">
      <c r="A53" t="inlineStr">
        <is>
          <t>i24 news</t>
        </is>
      </c>
      <c r="B53">
        <f>INDEX('סקרים לפי ערוץ'!$B:$B,MATCH($A53,'סקרים לפי ערוץ'!$A:$A,0))</f>
        <v/>
      </c>
      <c r="C53" t="inlineStr">
        <is>
          <t>כחול לבן</t>
        </is>
      </c>
      <c r="D53">
        <f>INDEX('סקרים לפי ערוץ'!H:H,MATCH($A53,'סקרים לפי ערוץ'!$A:$A,0))</f>
        <v/>
      </c>
      <c r="E53">
        <f>COUNTIFS('מועמדים 2026'!$A:$A,$C53,'מועמדים 2026'!$D:$D,"נ",'מועמדים 2026'!$B:$B,"&lt;="&amp;$D53)</f>
        <v/>
      </c>
      <c r="F53">
        <f>COUNTIFS('מועמדים 2026'!$A:$A,$C53,'מועמדים 2026'!$D:$D,"ז",'מועמדים 2026'!$B:$B,"&lt;="&amp;$D53)</f>
        <v/>
      </c>
      <c r="G53">
        <f>IF($D53=0,0,$E53/$D53)</f>
        <v/>
      </c>
      <c r="H53">
        <f>COUNTIFS('מועמדים 2026'!$A:$A,$C53)</f>
        <v/>
      </c>
      <c r="I53">
        <f>IF(AND($D53&gt;0,$H53=0),"אין נתוני מועמדים לחישוב","")</f>
        <v/>
      </c>
    </row>
    <row r="54">
      <c r="A54" t="inlineStr">
        <is>
          <t>i24 news</t>
        </is>
      </c>
      <c r="B54">
        <f>INDEX('סקרים לפי ערוץ'!$B:$B,MATCH($A54,'סקרים לפי ערוץ'!$A:$A,0))</f>
        <v/>
      </c>
      <c r="C54" t="inlineStr">
        <is>
          <t>חדש תע"ל</t>
        </is>
      </c>
      <c r="D54">
        <f>INDEX('סקרים לפי ערוץ'!I:I,MATCH($A54,'סקרים לפי ערוץ'!$A:$A,0))</f>
        <v/>
      </c>
      <c r="E54">
        <f>COUNTIFS('מועמדים 2026'!$A:$A,$C54,'מועמדים 2026'!$D:$D,"נ",'מועמדים 2026'!$B:$B,"&lt;="&amp;$D54)</f>
        <v/>
      </c>
      <c r="F54">
        <f>COUNTIFS('מועמדים 2026'!$A:$A,$C54,'מועמדים 2026'!$D:$D,"ז",'מועמדים 2026'!$B:$B,"&lt;="&amp;$D54)</f>
        <v/>
      </c>
      <c r="G54">
        <f>IF($D54=0,0,$E54/$D54)</f>
        <v/>
      </c>
      <c r="H54">
        <f>COUNTIFS('מועמדים 2026'!$A:$A,$C54)</f>
        <v/>
      </c>
      <c r="I54">
        <f>IF(AND($D54&gt;0,$H54=0),"אין נתוני מועמדים לחישוב","")</f>
        <v/>
      </c>
    </row>
    <row r="55">
      <c r="A55" t="inlineStr">
        <is>
          <t>i24 news</t>
        </is>
      </c>
      <c r="B55">
        <f>INDEX('סקרים לפי ערוץ'!$B:$B,MATCH($A55,'סקרים לפי ערוץ'!$A:$A,0))</f>
        <v/>
      </c>
      <c r="C55" t="inlineStr">
        <is>
          <t>ישראל ביתנו</t>
        </is>
      </c>
      <c r="D55">
        <f>INDEX('סקרים לפי ערוץ'!J:J,MATCH($A55,'סקרים לפי ערוץ'!$A:$A,0))</f>
        <v/>
      </c>
      <c r="E55">
        <f>COUNTIFS('מועמדים 2026'!$A:$A,$C55,'מועמדים 2026'!$D:$D,"נ",'מועמדים 2026'!$B:$B,"&lt;="&amp;$D55)</f>
        <v/>
      </c>
      <c r="F55">
        <f>COUNTIFS('מועמדים 2026'!$A:$A,$C55,'מועמדים 2026'!$D:$D,"ז",'מועמדים 2026'!$B:$B,"&lt;="&amp;$D55)</f>
        <v/>
      </c>
      <c r="G55">
        <f>IF($D55=0,0,$E55/$D55)</f>
        <v/>
      </c>
      <c r="H55">
        <f>COUNTIFS('מועמדים 2026'!$A:$A,$C55)</f>
        <v/>
      </c>
      <c r="I55">
        <f>IF(AND($D55&gt;0,$H55=0),"אין נתוני מועמדים לחישוב","")</f>
        <v/>
      </c>
    </row>
    <row r="56">
      <c r="A56" t="inlineStr">
        <is>
          <t>i24 news</t>
        </is>
      </c>
      <c r="B56">
        <f>INDEX('סקרים לפי ערוץ'!$B:$B,MATCH($A56,'סקרים לפי ערוץ'!$A:$A,0))</f>
        <v/>
      </c>
      <c r="C56" t="inlineStr">
        <is>
          <t>הדמוקרטים</t>
        </is>
      </c>
      <c r="D56">
        <f>INDEX('סקרים לפי ערוץ'!K:K,MATCH($A56,'סקרים לפי ערוץ'!$A:$A,0))</f>
        <v/>
      </c>
      <c r="E56">
        <f>COUNTIFS('מועמדים 2026'!$A:$A,$C56,'מועמדים 2026'!$D:$D,"נ",'מועמדים 2026'!$B:$B,"&lt;="&amp;$D56)</f>
        <v/>
      </c>
      <c r="F56">
        <f>COUNTIFS('מועמדים 2026'!$A:$A,$C56,'מועמדים 2026'!$D:$D,"ז",'מועמדים 2026'!$B:$B,"&lt;="&amp;$D56)</f>
        <v/>
      </c>
      <c r="G56">
        <f>IF($D56=0,0,$E56/$D56)</f>
        <v/>
      </c>
      <c r="H56">
        <f>COUNTIFS('מועמדים 2026'!$A:$A,$C56)</f>
        <v/>
      </c>
      <c r="I56">
        <f>IF(AND($D56&gt;0,$H56=0),"אין נתוני מועמדים לחישוב","")</f>
        <v/>
      </c>
    </row>
    <row r="57">
      <c r="A57" t="inlineStr">
        <is>
          <t>i24 news</t>
        </is>
      </c>
      <c r="B57">
        <f>INDEX('סקרים לפי ערוץ'!$B:$B,MATCH($A57,'סקרים לפי ערוץ'!$A:$A,0))</f>
        <v/>
      </c>
      <c r="C57" t="inlineStr">
        <is>
          <t>הציונות הדתית</t>
        </is>
      </c>
      <c r="D57">
        <f>INDEX('סקרים לפי ערוץ'!L:L,MATCH($A57,'סקרים לפי ערוץ'!$A:$A,0))</f>
        <v/>
      </c>
      <c r="E57">
        <f>COUNTIFS('מועמדים 2026'!$A:$A,$C57,'מועמדים 2026'!$D:$D,"נ",'מועמדים 2026'!$B:$B,"&lt;="&amp;$D57)</f>
        <v/>
      </c>
      <c r="F57">
        <f>COUNTIFS('מועמדים 2026'!$A:$A,$C57,'מועמדים 2026'!$D:$D,"ז",'מועמדים 2026'!$B:$B,"&lt;="&amp;$D57)</f>
        <v/>
      </c>
      <c r="G57">
        <f>IF($D57=0,0,$E57/$D57)</f>
        <v/>
      </c>
      <c r="H57">
        <f>COUNTIFS('מועמדים 2026'!$A:$A,$C57)</f>
        <v/>
      </c>
      <c r="I57">
        <f>IF(AND($D57&gt;0,$H57=0),"אין נתוני מועמדים לחישוב","")</f>
        <v/>
      </c>
    </row>
    <row r="58">
      <c r="A58" t="inlineStr">
        <is>
          <t>i24 news</t>
        </is>
      </c>
      <c r="B58">
        <f>INDEX('סקרים לפי ערוץ'!$B:$B,MATCH($A58,'סקרים לפי ערוץ'!$A:$A,0))</f>
        <v/>
      </c>
      <c r="C58" t="inlineStr">
        <is>
          <t>רע"מ</t>
        </is>
      </c>
      <c r="D58">
        <f>INDEX('סקרים לפי ערוץ'!M:M,MATCH($A58,'סקרים לפי ערוץ'!$A:$A,0))</f>
        <v/>
      </c>
      <c r="E58">
        <f>COUNTIFS('מועמדים 2026'!$A:$A,$C58,'מועמדים 2026'!$D:$D,"נ",'מועמדים 2026'!$B:$B,"&lt;="&amp;$D58)</f>
        <v/>
      </c>
      <c r="F58">
        <f>COUNTIFS('מועמדים 2026'!$A:$A,$C58,'מועמדים 2026'!$D:$D,"ז",'מועמדים 2026'!$B:$B,"&lt;="&amp;$D58)</f>
        <v/>
      </c>
      <c r="G58">
        <f>IF($D58=0,0,$E58/$D58)</f>
        <v/>
      </c>
      <c r="H58">
        <f>COUNTIFS('מועמדים 2026'!$A:$A,$C58)</f>
        <v/>
      </c>
      <c r="I58">
        <f>IF(AND($D58&gt;0,$H58=0),"אין נתוני מועמדים לחישוב","")</f>
        <v/>
      </c>
    </row>
    <row r="59">
      <c r="A59" t="inlineStr">
        <is>
          <t>i24 news</t>
        </is>
      </c>
      <c r="B59">
        <f>INDEX('סקרים לפי ערוץ'!$B:$B,MATCH($A59,'סקרים לפי ערוץ'!$A:$A,0))</f>
        <v/>
      </c>
      <c r="C59" t="inlineStr">
        <is>
          <t>עוצמה יהודית</t>
        </is>
      </c>
      <c r="D59">
        <f>INDEX('סקרים לפי ערוץ'!N:N,MATCH($A59,'סקרים לפי ערוץ'!$A:$A,0))</f>
        <v/>
      </c>
      <c r="E59">
        <f>COUNTIFS('מועמדים 2026'!$A:$A,$C59,'מועמדים 2026'!$D:$D,"נ",'מועמדים 2026'!$B:$B,"&lt;="&amp;$D59)</f>
        <v/>
      </c>
      <c r="F59">
        <f>COUNTIFS('מועמדים 2026'!$A:$A,$C59,'מועמדים 2026'!$D:$D,"ז",'מועמדים 2026'!$B:$B,"&lt;="&amp;$D59)</f>
        <v/>
      </c>
      <c r="G59">
        <f>IF($D59=0,0,$E59/$D59)</f>
        <v/>
      </c>
      <c r="H59">
        <f>COUNTIFS('מועמדים 2026'!$A:$A,$C59)</f>
        <v/>
      </c>
      <c r="I59">
        <f>IF(AND($D59&gt;0,$H59=0),"אין נתוני מועמדים לחישוב","")</f>
        <v/>
      </c>
    </row>
    <row r="60">
      <c r="A60" t="inlineStr">
        <is>
          <t>i24 news</t>
        </is>
      </c>
      <c r="B60">
        <f>INDEX('סקרים לפי ערוץ'!$B:$B,MATCH($A60,'סקרים לפי ערוץ'!$A:$A,0))</f>
        <v/>
      </c>
      <c r="C60" t="inlineStr">
        <is>
          <t>ביחד (בנט-לפיד)</t>
        </is>
      </c>
      <c r="D60">
        <f>INDEX('סקרים לפי ערוץ'!O:O,MATCH($A60,'סקרים לפי ערוץ'!$A:$A,0))</f>
        <v/>
      </c>
      <c r="E60">
        <f>COUNTIFS('מועמדים 2026'!$A:$A,$C60,'מועמדים 2026'!$D:$D,"נ",'מועמדים 2026'!$B:$B,"&lt;="&amp;$D60)</f>
        <v/>
      </c>
      <c r="F60">
        <f>COUNTIFS('מועמדים 2026'!$A:$A,$C60,'מועמדים 2026'!$D:$D,"ז",'מועמדים 2026'!$B:$B,"&lt;="&amp;$D60)</f>
        <v/>
      </c>
      <c r="G60">
        <f>IF($D60=0,0,$E60/$D60)</f>
        <v/>
      </c>
      <c r="H60">
        <f>COUNTIFS('מועמדים 2026'!$A:$A,$C60)</f>
        <v/>
      </c>
      <c r="I60">
        <f>IF(AND($D60&gt;0,$H60=0),"אין נתוני מועמדים לחישוב","")</f>
        <v/>
      </c>
    </row>
    <row r="61">
      <c r="A61" t="inlineStr">
        <is>
          <t>i24 news</t>
        </is>
      </c>
      <c r="B61">
        <f>INDEX('סקרים לפי ערוץ'!$B:$B,MATCH($A61,'סקרים לפי ערוץ'!$A:$A,0))</f>
        <v/>
      </c>
      <c r="C61" t="inlineStr">
        <is>
          <t>ישר!</t>
        </is>
      </c>
      <c r="D61">
        <f>INDEX('סקרים לפי ערוץ'!P:P,MATCH($A61,'סקרים לפי ערוץ'!$A:$A,0))</f>
        <v/>
      </c>
      <c r="E61">
        <f>COUNTIFS('מועמדים 2026'!$A:$A,$C61,'מועמדים 2026'!$D:$D,"נ",'מועמדים 2026'!$B:$B,"&lt;="&amp;$D61)</f>
        <v/>
      </c>
      <c r="F61">
        <f>COUNTIFS('מועמדים 2026'!$A:$A,$C61,'מועמדים 2026'!$D:$D,"ז",'מועמדים 2026'!$B:$B,"&lt;="&amp;$D61)</f>
        <v/>
      </c>
      <c r="G61">
        <f>IF($D61=0,0,$E61/$D61)</f>
        <v/>
      </c>
      <c r="H61">
        <f>COUNTIFS('מועמדים 2026'!$A:$A,$C61)</f>
        <v/>
      </c>
      <c r="I61">
        <f>IF(AND($D61&gt;0,$H61=0),"אין נתוני מועמדים לחישוב","")</f>
        <v/>
      </c>
    </row>
    <row r="62">
      <c r="A62" t="inlineStr">
        <is>
          <t>חדשות 12</t>
        </is>
      </c>
      <c r="B62">
        <f>INDEX('סקרים לפי ערוץ'!$B:$B,MATCH($A62,'סקרים לפי ערוץ'!$A:$A,0))</f>
        <v/>
      </c>
      <c r="C62" t="inlineStr">
        <is>
          <t>הליכוד</t>
        </is>
      </c>
      <c r="D62">
        <f>INDEX('סקרים לפי ערוץ'!E:E,MATCH($A62,'סקרים לפי ערוץ'!$A:$A,0))</f>
        <v/>
      </c>
      <c r="E62">
        <f>COUNTIFS('מועמדים 2026'!$A:$A,$C62,'מועמדים 2026'!$D:$D,"נ",'מועמדים 2026'!$B:$B,"&lt;="&amp;$D62)</f>
        <v/>
      </c>
      <c r="F62">
        <f>COUNTIFS('מועמדים 2026'!$A:$A,$C62,'מועמדים 2026'!$D:$D,"ז",'מועמדים 2026'!$B:$B,"&lt;="&amp;$D62)</f>
        <v/>
      </c>
      <c r="G62">
        <f>IF($D62=0,0,$E62/$D62)</f>
        <v/>
      </c>
      <c r="H62">
        <f>COUNTIFS('מועמדים 2026'!$A:$A,$C62)</f>
        <v/>
      </c>
      <c r="I62">
        <f>IF(AND($D62&gt;0,$H62=0),"אין נתוני מועמדים לחישוב","")</f>
        <v/>
      </c>
    </row>
    <row r="63">
      <c r="A63" t="inlineStr">
        <is>
          <t>חדשות 12</t>
        </is>
      </c>
      <c r="B63">
        <f>INDEX('סקרים לפי ערוץ'!$B:$B,MATCH($A63,'סקרים לפי ערוץ'!$A:$A,0))</f>
        <v/>
      </c>
      <c r="C63" t="inlineStr">
        <is>
          <t>יהדות התורה</t>
        </is>
      </c>
      <c r="D63">
        <f>INDEX('סקרים לפי ערוץ'!F:F,MATCH($A63,'סקרים לפי ערוץ'!$A:$A,0))</f>
        <v/>
      </c>
      <c r="E63">
        <f>COUNTIFS('מועמדים 2026'!$A:$A,$C63,'מועמדים 2026'!$D:$D,"נ",'מועמדים 2026'!$B:$B,"&lt;="&amp;$D63)</f>
        <v/>
      </c>
      <c r="F63">
        <f>COUNTIFS('מועמדים 2026'!$A:$A,$C63,'מועמדים 2026'!$D:$D,"ז",'מועמדים 2026'!$B:$B,"&lt;="&amp;$D63)</f>
        <v/>
      </c>
      <c r="G63">
        <f>IF($D63=0,0,$E63/$D63)</f>
        <v/>
      </c>
      <c r="H63">
        <f>COUNTIFS('מועמדים 2026'!$A:$A,$C63)</f>
        <v/>
      </c>
      <c r="I63">
        <f>IF(AND($D63&gt;0,$H63=0),"אין נתוני מועמדים לחישוב","")</f>
        <v/>
      </c>
    </row>
    <row r="64">
      <c r="A64" t="inlineStr">
        <is>
          <t>חדשות 12</t>
        </is>
      </c>
      <c r="B64">
        <f>INDEX('סקרים לפי ערוץ'!$B:$B,MATCH($A64,'סקרים לפי ערוץ'!$A:$A,0))</f>
        <v/>
      </c>
      <c r="C64" t="inlineStr">
        <is>
          <t>ש"ס</t>
        </is>
      </c>
      <c r="D64">
        <f>INDEX('סקרים לפי ערוץ'!G:G,MATCH($A64,'סקרים לפי ערוץ'!$A:$A,0))</f>
        <v/>
      </c>
      <c r="E64">
        <f>COUNTIFS('מועמדים 2026'!$A:$A,$C64,'מועמדים 2026'!$D:$D,"נ",'מועמדים 2026'!$B:$B,"&lt;="&amp;$D64)</f>
        <v/>
      </c>
      <c r="F64">
        <f>COUNTIFS('מועמדים 2026'!$A:$A,$C64,'מועמדים 2026'!$D:$D,"ז",'מועמדים 2026'!$B:$B,"&lt;="&amp;$D64)</f>
        <v/>
      </c>
      <c r="G64">
        <f>IF($D64=0,0,$E64/$D64)</f>
        <v/>
      </c>
      <c r="H64">
        <f>COUNTIFS('מועמדים 2026'!$A:$A,$C64)</f>
        <v/>
      </c>
      <c r="I64">
        <f>IF(AND($D64&gt;0,$H64=0),"אין נתוני מועמדים לחישוב","")</f>
        <v/>
      </c>
    </row>
    <row r="65">
      <c r="A65" t="inlineStr">
        <is>
          <t>חדשות 12</t>
        </is>
      </c>
      <c r="B65">
        <f>INDEX('סקרים לפי ערוץ'!$B:$B,MATCH($A65,'סקרים לפי ערוץ'!$A:$A,0))</f>
        <v/>
      </c>
      <c r="C65" t="inlineStr">
        <is>
          <t>כחול לבן</t>
        </is>
      </c>
      <c r="D65">
        <f>INDEX('סקרים לפי ערוץ'!H:H,MATCH($A65,'סקרים לפי ערוץ'!$A:$A,0))</f>
        <v/>
      </c>
      <c r="E65">
        <f>COUNTIFS('מועמדים 2026'!$A:$A,$C65,'מועמדים 2026'!$D:$D,"נ",'מועמדים 2026'!$B:$B,"&lt;="&amp;$D65)</f>
        <v/>
      </c>
      <c r="F65">
        <f>COUNTIFS('מועמדים 2026'!$A:$A,$C65,'מועמדים 2026'!$D:$D,"ז",'מועמדים 2026'!$B:$B,"&lt;="&amp;$D65)</f>
        <v/>
      </c>
      <c r="G65">
        <f>IF($D65=0,0,$E65/$D65)</f>
        <v/>
      </c>
      <c r="H65">
        <f>COUNTIFS('מועמדים 2026'!$A:$A,$C65)</f>
        <v/>
      </c>
      <c r="I65">
        <f>IF(AND($D65&gt;0,$H65=0),"אין נתוני מועמדים לחישוב","")</f>
        <v/>
      </c>
    </row>
    <row r="66">
      <c r="A66" t="inlineStr">
        <is>
          <t>חדשות 12</t>
        </is>
      </c>
      <c r="B66">
        <f>INDEX('סקרים לפי ערוץ'!$B:$B,MATCH($A66,'סקרים לפי ערוץ'!$A:$A,0))</f>
        <v/>
      </c>
      <c r="C66" t="inlineStr">
        <is>
          <t>חדש תע"ל</t>
        </is>
      </c>
      <c r="D66">
        <f>INDEX('סקרים לפי ערוץ'!I:I,MATCH($A66,'סקרים לפי ערוץ'!$A:$A,0))</f>
        <v/>
      </c>
      <c r="E66">
        <f>COUNTIFS('מועמדים 2026'!$A:$A,$C66,'מועמדים 2026'!$D:$D,"נ",'מועמדים 2026'!$B:$B,"&lt;="&amp;$D66)</f>
        <v/>
      </c>
      <c r="F66">
        <f>COUNTIFS('מועמדים 2026'!$A:$A,$C66,'מועמדים 2026'!$D:$D,"ז",'מועמדים 2026'!$B:$B,"&lt;="&amp;$D66)</f>
        <v/>
      </c>
      <c r="G66">
        <f>IF($D66=0,0,$E66/$D66)</f>
        <v/>
      </c>
      <c r="H66">
        <f>COUNTIFS('מועמדים 2026'!$A:$A,$C66)</f>
        <v/>
      </c>
      <c r="I66">
        <f>IF(AND($D66&gt;0,$H66=0),"אין נתוני מועמדים לחישוב","")</f>
        <v/>
      </c>
    </row>
    <row r="67">
      <c r="A67" t="inlineStr">
        <is>
          <t>חדשות 12</t>
        </is>
      </c>
      <c r="B67">
        <f>INDEX('סקרים לפי ערוץ'!$B:$B,MATCH($A67,'סקרים לפי ערוץ'!$A:$A,0))</f>
        <v/>
      </c>
      <c r="C67" t="inlineStr">
        <is>
          <t>ישראל ביתנו</t>
        </is>
      </c>
      <c r="D67">
        <f>INDEX('סקרים לפי ערוץ'!J:J,MATCH($A67,'סקרים לפי ערוץ'!$A:$A,0))</f>
        <v/>
      </c>
      <c r="E67">
        <f>COUNTIFS('מועמדים 2026'!$A:$A,$C67,'מועמדים 2026'!$D:$D,"נ",'מועמדים 2026'!$B:$B,"&lt;="&amp;$D67)</f>
        <v/>
      </c>
      <c r="F67">
        <f>COUNTIFS('מועמדים 2026'!$A:$A,$C67,'מועמדים 2026'!$D:$D,"ז",'מועמדים 2026'!$B:$B,"&lt;="&amp;$D67)</f>
        <v/>
      </c>
      <c r="G67">
        <f>IF($D67=0,0,$E67/$D67)</f>
        <v/>
      </c>
      <c r="H67">
        <f>COUNTIFS('מועמדים 2026'!$A:$A,$C67)</f>
        <v/>
      </c>
      <c r="I67">
        <f>IF(AND($D67&gt;0,$H67=0),"אין נתוני מועמדים לחישוב","")</f>
        <v/>
      </c>
    </row>
    <row r="68">
      <c r="A68" t="inlineStr">
        <is>
          <t>חדשות 12</t>
        </is>
      </c>
      <c r="B68">
        <f>INDEX('סקרים לפי ערוץ'!$B:$B,MATCH($A68,'סקרים לפי ערוץ'!$A:$A,0))</f>
        <v/>
      </c>
      <c r="C68" t="inlineStr">
        <is>
          <t>הדמוקרטים</t>
        </is>
      </c>
      <c r="D68">
        <f>INDEX('סקרים לפי ערוץ'!K:K,MATCH($A68,'סקרים לפי ערוץ'!$A:$A,0))</f>
        <v/>
      </c>
      <c r="E68">
        <f>COUNTIFS('מועמדים 2026'!$A:$A,$C68,'מועמדים 2026'!$D:$D,"נ",'מועמדים 2026'!$B:$B,"&lt;="&amp;$D68)</f>
        <v/>
      </c>
      <c r="F68">
        <f>COUNTIFS('מועמדים 2026'!$A:$A,$C68,'מועמדים 2026'!$D:$D,"ז",'מועמדים 2026'!$B:$B,"&lt;="&amp;$D68)</f>
        <v/>
      </c>
      <c r="G68">
        <f>IF($D68=0,0,$E68/$D68)</f>
        <v/>
      </c>
      <c r="H68">
        <f>COUNTIFS('מועמדים 2026'!$A:$A,$C68)</f>
        <v/>
      </c>
      <c r="I68">
        <f>IF(AND($D68&gt;0,$H68=0),"אין נתוני מועמדים לחישוב","")</f>
        <v/>
      </c>
    </row>
    <row r="69">
      <c r="A69" t="inlineStr">
        <is>
          <t>חדשות 12</t>
        </is>
      </c>
      <c r="B69">
        <f>INDEX('סקרים לפי ערוץ'!$B:$B,MATCH($A69,'סקרים לפי ערוץ'!$A:$A,0))</f>
        <v/>
      </c>
      <c r="C69" t="inlineStr">
        <is>
          <t>הציונות הדתית</t>
        </is>
      </c>
      <c r="D69">
        <f>INDEX('סקרים לפי ערוץ'!L:L,MATCH($A69,'סקרים לפי ערוץ'!$A:$A,0))</f>
        <v/>
      </c>
      <c r="E69">
        <f>COUNTIFS('מועמדים 2026'!$A:$A,$C69,'מועמדים 2026'!$D:$D,"נ",'מועמדים 2026'!$B:$B,"&lt;="&amp;$D69)</f>
        <v/>
      </c>
      <c r="F69">
        <f>COUNTIFS('מועמדים 2026'!$A:$A,$C69,'מועמדים 2026'!$D:$D,"ז",'מועמדים 2026'!$B:$B,"&lt;="&amp;$D69)</f>
        <v/>
      </c>
      <c r="G69">
        <f>IF($D69=0,0,$E69/$D69)</f>
        <v/>
      </c>
      <c r="H69">
        <f>COUNTIFS('מועמדים 2026'!$A:$A,$C69)</f>
        <v/>
      </c>
      <c r="I69">
        <f>IF(AND($D69&gt;0,$H69=0),"אין נתוני מועמדים לחישוב","")</f>
        <v/>
      </c>
    </row>
    <row r="70">
      <c r="A70" t="inlineStr">
        <is>
          <t>חדשות 12</t>
        </is>
      </c>
      <c r="B70">
        <f>INDEX('סקרים לפי ערוץ'!$B:$B,MATCH($A70,'סקרים לפי ערוץ'!$A:$A,0))</f>
        <v/>
      </c>
      <c r="C70" t="inlineStr">
        <is>
          <t>רע"מ</t>
        </is>
      </c>
      <c r="D70">
        <f>INDEX('סקרים לפי ערוץ'!M:M,MATCH($A70,'סקרים לפי ערוץ'!$A:$A,0))</f>
        <v/>
      </c>
      <c r="E70">
        <f>COUNTIFS('מועמדים 2026'!$A:$A,$C70,'מועמדים 2026'!$D:$D,"נ",'מועמדים 2026'!$B:$B,"&lt;="&amp;$D70)</f>
        <v/>
      </c>
      <c r="F70">
        <f>COUNTIFS('מועמדים 2026'!$A:$A,$C70,'מועמדים 2026'!$D:$D,"ז",'מועמדים 2026'!$B:$B,"&lt;="&amp;$D70)</f>
        <v/>
      </c>
      <c r="G70">
        <f>IF($D70=0,0,$E70/$D70)</f>
        <v/>
      </c>
      <c r="H70">
        <f>COUNTIFS('מועמדים 2026'!$A:$A,$C70)</f>
        <v/>
      </c>
      <c r="I70">
        <f>IF(AND($D70&gt;0,$H70=0),"אין נתוני מועמדים לחישוב","")</f>
        <v/>
      </c>
    </row>
    <row r="71">
      <c r="A71" t="inlineStr">
        <is>
          <t>חדשות 12</t>
        </is>
      </c>
      <c r="B71">
        <f>INDEX('סקרים לפי ערוץ'!$B:$B,MATCH($A71,'סקרים לפי ערוץ'!$A:$A,0))</f>
        <v/>
      </c>
      <c r="C71" t="inlineStr">
        <is>
          <t>עוצמה יהודית</t>
        </is>
      </c>
      <c r="D71">
        <f>INDEX('סקרים לפי ערוץ'!N:N,MATCH($A71,'סקרים לפי ערוץ'!$A:$A,0))</f>
        <v/>
      </c>
      <c r="E71">
        <f>COUNTIFS('מועמדים 2026'!$A:$A,$C71,'מועמדים 2026'!$D:$D,"נ",'מועמדים 2026'!$B:$B,"&lt;="&amp;$D71)</f>
        <v/>
      </c>
      <c r="F71">
        <f>COUNTIFS('מועמדים 2026'!$A:$A,$C71,'מועמדים 2026'!$D:$D,"ז",'מועמדים 2026'!$B:$B,"&lt;="&amp;$D71)</f>
        <v/>
      </c>
      <c r="G71">
        <f>IF($D71=0,0,$E71/$D71)</f>
        <v/>
      </c>
      <c r="H71">
        <f>COUNTIFS('מועמדים 2026'!$A:$A,$C71)</f>
        <v/>
      </c>
      <c r="I71">
        <f>IF(AND($D71&gt;0,$H71=0),"אין נתוני מועמדים לחישוב","")</f>
        <v/>
      </c>
    </row>
    <row r="72">
      <c r="A72" t="inlineStr">
        <is>
          <t>חדשות 12</t>
        </is>
      </c>
      <c r="B72">
        <f>INDEX('סקרים לפי ערוץ'!$B:$B,MATCH($A72,'סקרים לפי ערוץ'!$A:$A,0))</f>
        <v/>
      </c>
      <c r="C72" t="inlineStr">
        <is>
          <t>ביחד (בנט-לפיד)</t>
        </is>
      </c>
      <c r="D72">
        <f>INDEX('סקרים לפי ערוץ'!O:O,MATCH($A72,'סקרים לפי ערוץ'!$A:$A,0))</f>
        <v/>
      </c>
      <c r="E72">
        <f>COUNTIFS('מועמדים 2026'!$A:$A,$C72,'מועמדים 2026'!$D:$D,"נ",'מועמדים 2026'!$B:$B,"&lt;="&amp;$D72)</f>
        <v/>
      </c>
      <c r="F72">
        <f>COUNTIFS('מועמדים 2026'!$A:$A,$C72,'מועמדים 2026'!$D:$D,"ז",'מועמדים 2026'!$B:$B,"&lt;="&amp;$D72)</f>
        <v/>
      </c>
      <c r="G72">
        <f>IF($D72=0,0,$E72/$D72)</f>
        <v/>
      </c>
      <c r="H72">
        <f>COUNTIFS('מועמדים 2026'!$A:$A,$C72)</f>
        <v/>
      </c>
      <c r="I72">
        <f>IF(AND($D72&gt;0,$H72=0),"אין נתוני מועמדים לחישוב","")</f>
        <v/>
      </c>
    </row>
    <row r="73">
      <c r="A73" t="inlineStr">
        <is>
          <t>חדשות 12</t>
        </is>
      </c>
      <c r="B73">
        <f>INDEX('סקרים לפי ערוץ'!$B:$B,MATCH($A73,'סקרים לפי ערוץ'!$A:$A,0))</f>
        <v/>
      </c>
      <c r="C73" t="inlineStr">
        <is>
          <t>ישר!</t>
        </is>
      </c>
      <c r="D73">
        <f>INDEX('סקרים לפי ערוץ'!P:P,MATCH($A73,'סקרים לפי ערוץ'!$A:$A,0))</f>
        <v/>
      </c>
      <c r="E73">
        <f>COUNTIFS('מועמדים 2026'!$A:$A,$C73,'מועמדים 2026'!$D:$D,"נ",'מועמדים 2026'!$B:$B,"&lt;="&amp;$D73)</f>
        <v/>
      </c>
      <c r="F73">
        <f>COUNTIFS('מועמדים 2026'!$A:$A,$C73,'מועמדים 2026'!$D:$D,"ז",'מועמדים 2026'!$B:$B,"&lt;="&amp;$D73)</f>
        <v/>
      </c>
      <c r="G73">
        <f>IF($D73=0,0,$E73/$D73)</f>
        <v/>
      </c>
      <c r="H73">
        <f>COUNTIFS('מועמדים 2026'!$A:$A,$C73)</f>
        <v/>
      </c>
      <c r="I73">
        <f>IF(AND($D73&gt;0,$H73=0),"אין נתוני מועמדים לחישוב","")</f>
        <v/>
      </c>
    </row>
    <row r="74">
      <c r="A74" t="inlineStr">
        <is>
          <t>כאן חדשות</t>
        </is>
      </c>
      <c r="B74">
        <f>INDEX('סקרים לפי ערוץ'!$B:$B,MATCH($A74,'סקרים לפי ערוץ'!$A:$A,0))</f>
        <v/>
      </c>
      <c r="C74" t="inlineStr">
        <is>
          <t>הליכוד</t>
        </is>
      </c>
      <c r="D74">
        <f>INDEX('סקרים לפי ערוץ'!E:E,MATCH($A74,'סקרים לפי ערוץ'!$A:$A,0))</f>
        <v/>
      </c>
      <c r="E74">
        <f>COUNTIFS('מועמדים 2026'!$A:$A,$C74,'מועמדים 2026'!$D:$D,"נ",'מועמדים 2026'!$B:$B,"&lt;="&amp;$D74)</f>
        <v/>
      </c>
      <c r="F74">
        <f>COUNTIFS('מועמדים 2026'!$A:$A,$C74,'מועמדים 2026'!$D:$D,"ז",'מועמדים 2026'!$B:$B,"&lt;="&amp;$D74)</f>
        <v/>
      </c>
      <c r="G74">
        <f>IF($D74=0,0,$E74/$D74)</f>
        <v/>
      </c>
      <c r="H74">
        <f>COUNTIFS('מועמדים 2026'!$A:$A,$C74)</f>
        <v/>
      </c>
      <c r="I74">
        <f>IF(AND($D74&gt;0,$H74=0),"אין נתוני מועמדים לחישוב","")</f>
        <v/>
      </c>
    </row>
    <row r="75">
      <c r="A75" t="inlineStr">
        <is>
          <t>כאן חדשות</t>
        </is>
      </c>
      <c r="B75">
        <f>INDEX('סקרים לפי ערוץ'!$B:$B,MATCH($A75,'סקרים לפי ערוץ'!$A:$A,0))</f>
        <v/>
      </c>
      <c r="C75" t="inlineStr">
        <is>
          <t>יהדות התורה</t>
        </is>
      </c>
      <c r="D75">
        <f>INDEX('סקרים לפי ערוץ'!F:F,MATCH($A75,'סקרים לפי ערוץ'!$A:$A,0))</f>
        <v/>
      </c>
      <c r="E75">
        <f>COUNTIFS('מועמדים 2026'!$A:$A,$C75,'מועמדים 2026'!$D:$D,"נ",'מועמדים 2026'!$B:$B,"&lt;="&amp;$D75)</f>
        <v/>
      </c>
      <c r="F75">
        <f>COUNTIFS('מועמדים 2026'!$A:$A,$C75,'מועמדים 2026'!$D:$D,"ז",'מועמדים 2026'!$B:$B,"&lt;="&amp;$D75)</f>
        <v/>
      </c>
      <c r="G75">
        <f>IF($D75=0,0,$E75/$D75)</f>
        <v/>
      </c>
      <c r="H75">
        <f>COUNTIFS('מועמדים 2026'!$A:$A,$C75)</f>
        <v/>
      </c>
      <c r="I75">
        <f>IF(AND($D75&gt;0,$H75=0),"אין נתוני מועמדים לחישוב","")</f>
        <v/>
      </c>
    </row>
    <row r="76">
      <c r="A76" t="inlineStr">
        <is>
          <t>כאן חדשות</t>
        </is>
      </c>
      <c r="B76">
        <f>INDEX('סקרים לפי ערוץ'!$B:$B,MATCH($A76,'סקרים לפי ערוץ'!$A:$A,0))</f>
        <v/>
      </c>
      <c r="C76" t="inlineStr">
        <is>
          <t>ש"ס</t>
        </is>
      </c>
      <c r="D76">
        <f>INDEX('סקרים לפי ערוץ'!G:G,MATCH($A76,'סקרים לפי ערוץ'!$A:$A,0))</f>
        <v/>
      </c>
      <c r="E76">
        <f>COUNTIFS('מועמדים 2026'!$A:$A,$C76,'מועמדים 2026'!$D:$D,"נ",'מועמדים 2026'!$B:$B,"&lt;="&amp;$D76)</f>
        <v/>
      </c>
      <c r="F76">
        <f>COUNTIFS('מועמדים 2026'!$A:$A,$C76,'מועמדים 2026'!$D:$D,"ז",'מועמדים 2026'!$B:$B,"&lt;="&amp;$D76)</f>
        <v/>
      </c>
      <c r="G76">
        <f>IF($D76=0,0,$E76/$D76)</f>
        <v/>
      </c>
      <c r="H76">
        <f>COUNTIFS('מועמדים 2026'!$A:$A,$C76)</f>
        <v/>
      </c>
      <c r="I76">
        <f>IF(AND($D76&gt;0,$H76=0),"אין נתוני מועמדים לחישוב","")</f>
        <v/>
      </c>
    </row>
    <row r="77">
      <c r="A77" t="inlineStr">
        <is>
          <t>כאן חדשות</t>
        </is>
      </c>
      <c r="B77">
        <f>INDEX('סקרים לפי ערוץ'!$B:$B,MATCH($A77,'סקרים לפי ערוץ'!$A:$A,0))</f>
        <v/>
      </c>
      <c r="C77" t="inlineStr">
        <is>
          <t>כחול לבן</t>
        </is>
      </c>
      <c r="D77">
        <f>INDEX('סקרים לפי ערוץ'!H:H,MATCH($A77,'סקרים לפי ערוץ'!$A:$A,0))</f>
        <v/>
      </c>
      <c r="E77">
        <f>COUNTIFS('מועמדים 2026'!$A:$A,$C77,'מועמדים 2026'!$D:$D,"נ",'מועמדים 2026'!$B:$B,"&lt;="&amp;$D77)</f>
        <v/>
      </c>
      <c r="F77">
        <f>COUNTIFS('מועמדים 2026'!$A:$A,$C77,'מועמדים 2026'!$D:$D,"ז",'מועמדים 2026'!$B:$B,"&lt;="&amp;$D77)</f>
        <v/>
      </c>
      <c r="G77">
        <f>IF($D77=0,0,$E77/$D77)</f>
        <v/>
      </c>
      <c r="H77">
        <f>COUNTIFS('מועמדים 2026'!$A:$A,$C77)</f>
        <v/>
      </c>
      <c r="I77">
        <f>IF(AND($D77&gt;0,$H77=0),"אין נתוני מועמדים לחישוב","")</f>
        <v/>
      </c>
    </row>
    <row r="78">
      <c r="A78" t="inlineStr">
        <is>
          <t>כאן חדשות</t>
        </is>
      </c>
      <c r="B78">
        <f>INDEX('סקרים לפי ערוץ'!$B:$B,MATCH($A78,'סקרים לפי ערוץ'!$A:$A,0))</f>
        <v/>
      </c>
      <c r="C78" t="inlineStr">
        <is>
          <t>חדש תע"ל</t>
        </is>
      </c>
      <c r="D78">
        <f>INDEX('סקרים לפי ערוץ'!I:I,MATCH($A78,'סקרים לפי ערוץ'!$A:$A,0))</f>
        <v/>
      </c>
      <c r="E78">
        <f>COUNTIFS('מועמדים 2026'!$A:$A,$C78,'מועמדים 2026'!$D:$D,"נ",'מועמדים 2026'!$B:$B,"&lt;="&amp;$D78)</f>
        <v/>
      </c>
      <c r="F78">
        <f>COUNTIFS('מועמדים 2026'!$A:$A,$C78,'מועמדים 2026'!$D:$D,"ז",'מועמדים 2026'!$B:$B,"&lt;="&amp;$D78)</f>
        <v/>
      </c>
      <c r="G78">
        <f>IF($D78=0,0,$E78/$D78)</f>
        <v/>
      </c>
      <c r="H78">
        <f>COUNTIFS('מועמדים 2026'!$A:$A,$C78)</f>
        <v/>
      </c>
      <c r="I78">
        <f>IF(AND($D78&gt;0,$H78=0),"אין נתוני מועמדים לחישוב","")</f>
        <v/>
      </c>
    </row>
    <row r="79">
      <c r="A79" t="inlineStr">
        <is>
          <t>כאן חדשות</t>
        </is>
      </c>
      <c r="B79">
        <f>INDEX('סקרים לפי ערוץ'!$B:$B,MATCH($A79,'סקרים לפי ערוץ'!$A:$A,0))</f>
        <v/>
      </c>
      <c r="C79" t="inlineStr">
        <is>
          <t>ישראל ביתנו</t>
        </is>
      </c>
      <c r="D79">
        <f>INDEX('סקרים לפי ערוץ'!J:J,MATCH($A79,'סקרים לפי ערוץ'!$A:$A,0))</f>
        <v/>
      </c>
      <c r="E79">
        <f>COUNTIFS('מועמדים 2026'!$A:$A,$C79,'מועמדים 2026'!$D:$D,"נ",'מועמדים 2026'!$B:$B,"&lt;="&amp;$D79)</f>
        <v/>
      </c>
      <c r="F79">
        <f>COUNTIFS('מועמדים 2026'!$A:$A,$C79,'מועמדים 2026'!$D:$D,"ז",'מועמדים 2026'!$B:$B,"&lt;="&amp;$D79)</f>
        <v/>
      </c>
      <c r="G79">
        <f>IF($D79=0,0,$E79/$D79)</f>
        <v/>
      </c>
      <c r="H79">
        <f>COUNTIFS('מועמדים 2026'!$A:$A,$C79)</f>
        <v/>
      </c>
      <c r="I79">
        <f>IF(AND($D79&gt;0,$H79=0),"אין נתוני מועמדים לחישוב","")</f>
        <v/>
      </c>
    </row>
    <row r="80">
      <c r="A80" t="inlineStr">
        <is>
          <t>כאן חדשות</t>
        </is>
      </c>
      <c r="B80">
        <f>INDEX('סקרים לפי ערוץ'!$B:$B,MATCH($A80,'סקרים לפי ערוץ'!$A:$A,0))</f>
        <v/>
      </c>
      <c r="C80" t="inlineStr">
        <is>
          <t>הדמוקרטים</t>
        </is>
      </c>
      <c r="D80">
        <f>INDEX('סקרים לפי ערוץ'!K:K,MATCH($A80,'סקרים לפי ערוץ'!$A:$A,0))</f>
        <v/>
      </c>
      <c r="E80">
        <f>COUNTIFS('מועמדים 2026'!$A:$A,$C80,'מועמדים 2026'!$D:$D,"נ",'מועמדים 2026'!$B:$B,"&lt;="&amp;$D80)</f>
        <v/>
      </c>
      <c r="F80">
        <f>COUNTIFS('מועמדים 2026'!$A:$A,$C80,'מועמדים 2026'!$D:$D,"ז",'מועמדים 2026'!$B:$B,"&lt;="&amp;$D80)</f>
        <v/>
      </c>
      <c r="G80">
        <f>IF($D80=0,0,$E80/$D80)</f>
        <v/>
      </c>
      <c r="H80">
        <f>COUNTIFS('מועמדים 2026'!$A:$A,$C80)</f>
        <v/>
      </c>
      <c r="I80">
        <f>IF(AND($D80&gt;0,$H80=0),"אין נתוני מועמדים לחישוב","")</f>
        <v/>
      </c>
    </row>
    <row r="81">
      <c r="A81" t="inlineStr">
        <is>
          <t>כאן חדשות</t>
        </is>
      </c>
      <c r="B81">
        <f>INDEX('סקרים לפי ערוץ'!$B:$B,MATCH($A81,'סקרים לפי ערוץ'!$A:$A,0))</f>
        <v/>
      </c>
      <c r="C81" t="inlineStr">
        <is>
          <t>הציונות הדתית</t>
        </is>
      </c>
      <c r="D81">
        <f>INDEX('סקרים לפי ערוץ'!L:L,MATCH($A81,'סקרים לפי ערוץ'!$A:$A,0))</f>
        <v/>
      </c>
      <c r="E81">
        <f>COUNTIFS('מועמדים 2026'!$A:$A,$C81,'מועמדים 2026'!$D:$D,"נ",'מועמדים 2026'!$B:$B,"&lt;="&amp;$D81)</f>
        <v/>
      </c>
      <c r="F81">
        <f>COUNTIFS('מועמדים 2026'!$A:$A,$C81,'מועמדים 2026'!$D:$D,"ז",'מועמדים 2026'!$B:$B,"&lt;="&amp;$D81)</f>
        <v/>
      </c>
      <c r="G81">
        <f>IF($D81=0,0,$E81/$D81)</f>
        <v/>
      </c>
      <c r="H81">
        <f>COUNTIFS('מועמדים 2026'!$A:$A,$C81)</f>
        <v/>
      </c>
      <c r="I81">
        <f>IF(AND($D81&gt;0,$H81=0),"אין נתוני מועמדים לחישוב","")</f>
        <v/>
      </c>
    </row>
    <row r="82">
      <c r="A82" t="inlineStr">
        <is>
          <t>כאן חדשות</t>
        </is>
      </c>
      <c r="B82">
        <f>INDEX('סקרים לפי ערוץ'!$B:$B,MATCH($A82,'סקרים לפי ערוץ'!$A:$A,0))</f>
        <v/>
      </c>
      <c r="C82" t="inlineStr">
        <is>
          <t>רע"מ</t>
        </is>
      </c>
      <c r="D82">
        <f>INDEX('סקרים לפי ערוץ'!M:M,MATCH($A82,'סקרים לפי ערוץ'!$A:$A,0))</f>
        <v/>
      </c>
      <c r="E82">
        <f>COUNTIFS('מועמדים 2026'!$A:$A,$C82,'מועמדים 2026'!$D:$D,"נ",'מועמדים 2026'!$B:$B,"&lt;="&amp;$D82)</f>
        <v/>
      </c>
      <c r="F82">
        <f>COUNTIFS('מועמדים 2026'!$A:$A,$C82,'מועמדים 2026'!$D:$D,"ז",'מועמדים 2026'!$B:$B,"&lt;="&amp;$D82)</f>
        <v/>
      </c>
      <c r="G82">
        <f>IF($D82=0,0,$E82/$D82)</f>
        <v/>
      </c>
      <c r="H82">
        <f>COUNTIFS('מועמדים 2026'!$A:$A,$C82)</f>
        <v/>
      </c>
      <c r="I82">
        <f>IF(AND($D82&gt;0,$H82=0),"אין נתוני מועמדים לחישוב","")</f>
        <v/>
      </c>
    </row>
    <row r="83">
      <c r="A83" t="inlineStr">
        <is>
          <t>כאן חדשות</t>
        </is>
      </c>
      <c r="B83">
        <f>INDEX('סקרים לפי ערוץ'!$B:$B,MATCH($A83,'סקרים לפי ערוץ'!$A:$A,0))</f>
        <v/>
      </c>
      <c r="C83" t="inlineStr">
        <is>
          <t>עוצמה יהודית</t>
        </is>
      </c>
      <c r="D83">
        <f>INDEX('סקרים לפי ערוץ'!N:N,MATCH($A83,'סקרים לפי ערוץ'!$A:$A,0))</f>
        <v/>
      </c>
      <c r="E83">
        <f>COUNTIFS('מועמדים 2026'!$A:$A,$C83,'מועמדים 2026'!$D:$D,"נ",'מועמדים 2026'!$B:$B,"&lt;="&amp;$D83)</f>
        <v/>
      </c>
      <c r="F83">
        <f>COUNTIFS('מועמדים 2026'!$A:$A,$C83,'מועמדים 2026'!$D:$D,"ז",'מועמדים 2026'!$B:$B,"&lt;="&amp;$D83)</f>
        <v/>
      </c>
      <c r="G83">
        <f>IF($D83=0,0,$E83/$D83)</f>
        <v/>
      </c>
      <c r="H83">
        <f>COUNTIFS('מועמדים 2026'!$A:$A,$C83)</f>
        <v/>
      </c>
      <c r="I83">
        <f>IF(AND($D83&gt;0,$H83=0),"אין נתוני מועמדים לחישוב","")</f>
        <v/>
      </c>
    </row>
    <row r="84">
      <c r="A84" t="inlineStr">
        <is>
          <t>כאן חדשות</t>
        </is>
      </c>
      <c r="B84">
        <f>INDEX('סקרים לפי ערוץ'!$B:$B,MATCH($A84,'סקרים לפי ערוץ'!$A:$A,0))</f>
        <v/>
      </c>
      <c r="C84" t="inlineStr">
        <is>
          <t>ביחד (בנט-לפיד)</t>
        </is>
      </c>
      <c r="D84">
        <f>INDEX('סקרים לפי ערוץ'!O:O,MATCH($A84,'סקרים לפי ערוץ'!$A:$A,0))</f>
        <v/>
      </c>
      <c r="E84">
        <f>COUNTIFS('מועמדים 2026'!$A:$A,$C84,'מועמדים 2026'!$D:$D,"נ",'מועמדים 2026'!$B:$B,"&lt;="&amp;$D84)</f>
        <v/>
      </c>
      <c r="F84">
        <f>COUNTIFS('מועמדים 2026'!$A:$A,$C84,'מועמדים 2026'!$D:$D,"ז",'מועמדים 2026'!$B:$B,"&lt;="&amp;$D84)</f>
        <v/>
      </c>
      <c r="G84">
        <f>IF($D84=0,0,$E84/$D84)</f>
        <v/>
      </c>
      <c r="H84">
        <f>COUNTIFS('מועמדים 2026'!$A:$A,$C84)</f>
        <v/>
      </c>
      <c r="I84">
        <f>IF(AND($D84&gt;0,$H84=0),"אין נתוני מועמדים לחישוב","")</f>
        <v/>
      </c>
    </row>
    <row r="85">
      <c r="A85" t="inlineStr">
        <is>
          <t>כאן חדשות</t>
        </is>
      </c>
      <c r="B85">
        <f>INDEX('סקרים לפי ערוץ'!$B:$B,MATCH($A85,'סקרים לפי ערוץ'!$A:$A,0))</f>
        <v/>
      </c>
      <c r="C85" t="inlineStr">
        <is>
          <t>ישר!</t>
        </is>
      </c>
      <c r="D85">
        <f>INDEX('סקרים לפי ערוץ'!P:P,MATCH($A85,'סקרים לפי ערוץ'!$A:$A,0))</f>
        <v/>
      </c>
      <c r="E85">
        <f>COUNTIFS('מועמדים 2026'!$A:$A,$C85,'מועמדים 2026'!$D:$D,"נ",'מועמדים 2026'!$B:$B,"&lt;="&amp;$D85)</f>
        <v/>
      </c>
      <c r="F85">
        <f>COUNTIFS('מועמדים 2026'!$A:$A,$C85,'מועמדים 2026'!$D:$D,"ז",'מועמדים 2026'!$B:$B,"&lt;="&amp;$D85)</f>
        <v/>
      </c>
      <c r="G85">
        <f>IF($D85=0,0,$E85/$D85)</f>
        <v/>
      </c>
      <c r="H85">
        <f>COUNTIFS('מועמדים 2026'!$A:$A,$C85)</f>
        <v/>
      </c>
      <c r="I85">
        <f>IF(AND($D85&gt;0,$H85=0),"אין נתוני מועמדים לחישוב","")</f>
        <v/>
      </c>
    </row>
    <row r="86">
      <c r="A86" t="inlineStr">
        <is>
          <t>ישראל היום</t>
        </is>
      </c>
      <c r="B86">
        <f>INDEX('סקרים לפי ערוץ'!$B:$B,MATCH($A86,'סקרים לפי ערוץ'!$A:$A,0))</f>
        <v/>
      </c>
      <c r="C86" t="inlineStr">
        <is>
          <t>הליכוד</t>
        </is>
      </c>
      <c r="D86">
        <f>INDEX('סקרים לפי ערוץ'!E:E,MATCH($A86,'סקרים לפי ערוץ'!$A:$A,0))</f>
        <v/>
      </c>
      <c r="E86">
        <f>COUNTIFS('מועמדים 2026'!$A:$A,$C86,'מועמדים 2026'!$D:$D,"נ",'מועמדים 2026'!$B:$B,"&lt;="&amp;$D86)</f>
        <v/>
      </c>
      <c r="F86">
        <f>COUNTIFS('מועמדים 2026'!$A:$A,$C86,'מועמדים 2026'!$D:$D,"ז",'מועמדים 2026'!$B:$B,"&lt;="&amp;$D86)</f>
        <v/>
      </c>
      <c r="G86">
        <f>IF($D86=0,0,$E86/$D86)</f>
        <v/>
      </c>
      <c r="H86">
        <f>COUNTIFS('מועמדים 2026'!$A:$A,$C86)</f>
        <v/>
      </c>
      <c r="I86">
        <f>IF(AND($D86&gt;0,$H86=0),"אין נתוני מועמדים לחישוב","")</f>
        <v/>
      </c>
    </row>
    <row r="87">
      <c r="A87" t="inlineStr">
        <is>
          <t>ישראל היום</t>
        </is>
      </c>
      <c r="B87">
        <f>INDEX('סקרים לפי ערוץ'!$B:$B,MATCH($A87,'סקרים לפי ערוץ'!$A:$A,0))</f>
        <v/>
      </c>
      <c r="C87" t="inlineStr">
        <is>
          <t>יהדות התורה</t>
        </is>
      </c>
      <c r="D87">
        <f>INDEX('סקרים לפי ערוץ'!F:F,MATCH($A87,'סקרים לפי ערוץ'!$A:$A,0))</f>
        <v/>
      </c>
      <c r="E87">
        <f>COUNTIFS('מועמדים 2026'!$A:$A,$C87,'מועמדים 2026'!$D:$D,"נ",'מועמדים 2026'!$B:$B,"&lt;="&amp;$D87)</f>
        <v/>
      </c>
      <c r="F87">
        <f>COUNTIFS('מועמדים 2026'!$A:$A,$C87,'מועמדים 2026'!$D:$D,"ז",'מועמדים 2026'!$B:$B,"&lt;="&amp;$D87)</f>
        <v/>
      </c>
      <c r="G87">
        <f>IF($D87=0,0,$E87/$D87)</f>
        <v/>
      </c>
      <c r="H87">
        <f>COUNTIFS('מועמדים 2026'!$A:$A,$C87)</f>
        <v/>
      </c>
      <c r="I87">
        <f>IF(AND($D87&gt;0,$H87=0),"אין נתוני מועמדים לחישוב","")</f>
        <v/>
      </c>
    </row>
    <row r="88">
      <c r="A88" t="inlineStr">
        <is>
          <t>ישראל היום</t>
        </is>
      </c>
      <c r="B88">
        <f>INDEX('סקרים לפי ערוץ'!$B:$B,MATCH($A88,'סקרים לפי ערוץ'!$A:$A,0))</f>
        <v/>
      </c>
      <c r="C88" t="inlineStr">
        <is>
          <t>ש"ס</t>
        </is>
      </c>
      <c r="D88">
        <f>INDEX('סקרים לפי ערוץ'!G:G,MATCH($A88,'סקרים לפי ערוץ'!$A:$A,0))</f>
        <v/>
      </c>
      <c r="E88">
        <f>COUNTIFS('מועמדים 2026'!$A:$A,$C88,'מועמדים 2026'!$D:$D,"נ",'מועמדים 2026'!$B:$B,"&lt;="&amp;$D88)</f>
        <v/>
      </c>
      <c r="F88">
        <f>COUNTIFS('מועמדים 2026'!$A:$A,$C88,'מועמדים 2026'!$D:$D,"ז",'מועמדים 2026'!$B:$B,"&lt;="&amp;$D88)</f>
        <v/>
      </c>
      <c r="G88">
        <f>IF($D88=0,0,$E88/$D88)</f>
        <v/>
      </c>
      <c r="H88">
        <f>COUNTIFS('מועמדים 2026'!$A:$A,$C88)</f>
        <v/>
      </c>
      <c r="I88">
        <f>IF(AND($D88&gt;0,$H88=0),"אין נתוני מועמדים לחישוב","")</f>
        <v/>
      </c>
    </row>
    <row r="89">
      <c r="A89" t="inlineStr">
        <is>
          <t>ישראל היום</t>
        </is>
      </c>
      <c r="B89">
        <f>INDEX('סקרים לפי ערוץ'!$B:$B,MATCH($A89,'סקרים לפי ערוץ'!$A:$A,0))</f>
        <v/>
      </c>
      <c r="C89" t="inlineStr">
        <is>
          <t>כחול לבן</t>
        </is>
      </c>
      <c r="D89">
        <f>INDEX('סקרים לפי ערוץ'!H:H,MATCH($A89,'סקרים לפי ערוץ'!$A:$A,0))</f>
        <v/>
      </c>
      <c r="E89">
        <f>COUNTIFS('מועמדים 2026'!$A:$A,$C89,'מועמדים 2026'!$D:$D,"נ",'מועמדים 2026'!$B:$B,"&lt;="&amp;$D89)</f>
        <v/>
      </c>
      <c r="F89">
        <f>COUNTIFS('מועמדים 2026'!$A:$A,$C89,'מועמדים 2026'!$D:$D,"ז",'מועמדים 2026'!$B:$B,"&lt;="&amp;$D89)</f>
        <v/>
      </c>
      <c r="G89">
        <f>IF($D89=0,0,$E89/$D89)</f>
        <v/>
      </c>
      <c r="H89">
        <f>COUNTIFS('מועמדים 2026'!$A:$A,$C89)</f>
        <v/>
      </c>
      <c r="I89">
        <f>IF(AND($D89&gt;0,$H89=0),"אין נתוני מועמדים לחישוב","")</f>
        <v/>
      </c>
    </row>
    <row r="90">
      <c r="A90" t="inlineStr">
        <is>
          <t>ישראל היום</t>
        </is>
      </c>
      <c r="B90">
        <f>INDEX('סקרים לפי ערוץ'!$B:$B,MATCH($A90,'סקרים לפי ערוץ'!$A:$A,0))</f>
        <v/>
      </c>
      <c r="C90" t="inlineStr">
        <is>
          <t>חדש תע"ל</t>
        </is>
      </c>
      <c r="D90">
        <f>INDEX('סקרים לפי ערוץ'!I:I,MATCH($A90,'סקרים לפי ערוץ'!$A:$A,0))</f>
        <v/>
      </c>
      <c r="E90">
        <f>COUNTIFS('מועמדים 2026'!$A:$A,$C90,'מועמדים 2026'!$D:$D,"נ",'מועמדים 2026'!$B:$B,"&lt;="&amp;$D90)</f>
        <v/>
      </c>
      <c r="F90">
        <f>COUNTIFS('מועמדים 2026'!$A:$A,$C90,'מועמדים 2026'!$D:$D,"ז",'מועמדים 2026'!$B:$B,"&lt;="&amp;$D90)</f>
        <v/>
      </c>
      <c r="G90">
        <f>IF($D90=0,0,$E90/$D90)</f>
        <v/>
      </c>
      <c r="H90">
        <f>COUNTIFS('מועמדים 2026'!$A:$A,$C90)</f>
        <v/>
      </c>
      <c r="I90">
        <f>IF(AND($D90&gt;0,$H90=0),"אין נתוני מועמדים לחישוב","")</f>
        <v/>
      </c>
    </row>
    <row r="91">
      <c r="A91" t="inlineStr">
        <is>
          <t>ישראל היום</t>
        </is>
      </c>
      <c r="B91">
        <f>INDEX('סקרים לפי ערוץ'!$B:$B,MATCH($A91,'סקרים לפי ערוץ'!$A:$A,0))</f>
        <v/>
      </c>
      <c r="C91" t="inlineStr">
        <is>
          <t>ישראל ביתנו</t>
        </is>
      </c>
      <c r="D91">
        <f>INDEX('סקרים לפי ערוץ'!J:J,MATCH($A91,'סקרים לפי ערוץ'!$A:$A,0))</f>
        <v/>
      </c>
      <c r="E91">
        <f>COUNTIFS('מועמדים 2026'!$A:$A,$C91,'מועמדים 2026'!$D:$D,"נ",'מועמדים 2026'!$B:$B,"&lt;="&amp;$D91)</f>
        <v/>
      </c>
      <c r="F91">
        <f>COUNTIFS('מועמדים 2026'!$A:$A,$C91,'מועמדים 2026'!$D:$D,"ז",'מועמדים 2026'!$B:$B,"&lt;="&amp;$D91)</f>
        <v/>
      </c>
      <c r="G91">
        <f>IF($D91=0,0,$E91/$D91)</f>
        <v/>
      </c>
      <c r="H91">
        <f>COUNTIFS('מועמדים 2026'!$A:$A,$C91)</f>
        <v/>
      </c>
      <c r="I91">
        <f>IF(AND($D91&gt;0,$H91=0),"אין נתוני מועמדים לחישוב","")</f>
        <v/>
      </c>
    </row>
    <row r="92">
      <c r="A92" t="inlineStr">
        <is>
          <t>ישראל היום</t>
        </is>
      </c>
      <c r="B92">
        <f>INDEX('סקרים לפי ערוץ'!$B:$B,MATCH($A92,'סקרים לפי ערוץ'!$A:$A,0))</f>
        <v/>
      </c>
      <c r="C92" t="inlineStr">
        <is>
          <t>הדמוקרטים</t>
        </is>
      </c>
      <c r="D92">
        <f>INDEX('סקרים לפי ערוץ'!K:K,MATCH($A92,'סקרים לפי ערוץ'!$A:$A,0))</f>
        <v/>
      </c>
      <c r="E92">
        <f>COUNTIFS('מועמדים 2026'!$A:$A,$C92,'מועמדים 2026'!$D:$D,"נ",'מועמדים 2026'!$B:$B,"&lt;="&amp;$D92)</f>
        <v/>
      </c>
      <c r="F92">
        <f>COUNTIFS('מועמדים 2026'!$A:$A,$C92,'מועמדים 2026'!$D:$D,"ז",'מועמדים 2026'!$B:$B,"&lt;="&amp;$D92)</f>
        <v/>
      </c>
      <c r="G92">
        <f>IF($D92=0,0,$E92/$D92)</f>
        <v/>
      </c>
      <c r="H92">
        <f>COUNTIFS('מועמדים 2026'!$A:$A,$C92)</f>
        <v/>
      </c>
      <c r="I92">
        <f>IF(AND($D92&gt;0,$H92=0),"אין נתוני מועמדים לחישוב","")</f>
        <v/>
      </c>
    </row>
    <row r="93">
      <c r="A93" t="inlineStr">
        <is>
          <t>ישראל היום</t>
        </is>
      </c>
      <c r="B93">
        <f>INDEX('סקרים לפי ערוץ'!$B:$B,MATCH($A93,'סקרים לפי ערוץ'!$A:$A,0))</f>
        <v/>
      </c>
      <c r="C93" t="inlineStr">
        <is>
          <t>הציונות הדתית</t>
        </is>
      </c>
      <c r="D93">
        <f>INDEX('סקרים לפי ערוץ'!L:L,MATCH($A93,'סקרים לפי ערוץ'!$A:$A,0))</f>
        <v/>
      </c>
      <c r="E93">
        <f>COUNTIFS('מועמדים 2026'!$A:$A,$C93,'מועמדים 2026'!$D:$D,"נ",'מועמדים 2026'!$B:$B,"&lt;="&amp;$D93)</f>
        <v/>
      </c>
      <c r="F93">
        <f>COUNTIFS('מועמדים 2026'!$A:$A,$C93,'מועמדים 2026'!$D:$D,"ז",'מועמדים 2026'!$B:$B,"&lt;="&amp;$D93)</f>
        <v/>
      </c>
      <c r="G93">
        <f>IF($D93=0,0,$E93/$D93)</f>
        <v/>
      </c>
      <c r="H93">
        <f>COUNTIFS('מועמדים 2026'!$A:$A,$C93)</f>
        <v/>
      </c>
      <c r="I93">
        <f>IF(AND($D93&gt;0,$H93=0),"אין נתוני מועמדים לחישוב","")</f>
        <v/>
      </c>
    </row>
    <row r="94">
      <c r="A94" t="inlineStr">
        <is>
          <t>ישראל היום</t>
        </is>
      </c>
      <c r="B94">
        <f>INDEX('סקרים לפי ערוץ'!$B:$B,MATCH($A94,'סקרים לפי ערוץ'!$A:$A,0))</f>
        <v/>
      </c>
      <c r="C94" t="inlineStr">
        <is>
          <t>רע"מ</t>
        </is>
      </c>
      <c r="D94">
        <f>INDEX('סקרים לפי ערוץ'!M:M,MATCH($A94,'סקרים לפי ערוץ'!$A:$A,0))</f>
        <v/>
      </c>
      <c r="E94">
        <f>COUNTIFS('מועמדים 2026'!$A:$A,$C94,'מועמדים 2026'!$D:$D,"נ",'מועמדים 2026'!$B:$B,"&lt;="&amp;$D94)</f>
        <v/>
      </c>
      <c r="F94">
        <f>COUNTIFS('מועמדים 2026'!$A:$A,$C94,'מועמדים 2026'!$D:$D,"ז",'מועמדים 2026'!$B:$B,"&lt;="&amp;$D94)</f>
        <v/>
      </c>
      <c r="G94">
        <f>IF($D94=0,0,$E94/$D94)</f>
        <v/>
      </c>
      <c r="H94">
        <f>COUNTIFS('מועמדים 2026'!$A:$A,$C94)</f>
        <v/>
      </c>
      <c r="I94">
        <f>IF(AND($D94&gt;0,$H94=0),"אין נתוני מועמדים לחישוב","")</f>
        <v/>
      </c>
    </row>
    <row r="95">
      <c r="A95" t="inlineStr">
        <is>
          <t>ישראל היום</t>
        </is>
      </c>
      <c r="B95">
        <f>INDEX('סקרים לפי ערוץ'!$B:$B,MATCH($A95,'סקרים לפי ערוץ'!$A:$A,0))</f>
        <v/>
      </c>
      <c r="C95" t="inlineStr">
        <is>
          <t>עוצמה יהודית</t>
        </is>
      </c>
      <c r="D95">
        <f>INDEX('סקרים לפי ערוץ'!N:N,MATCH($A95,'סקרים לפי ערוץ'!$A:$A,0))</f>
        <v/>
      </c>
      <c r="E95">
        <f>COUNTIFS('מועמדים 2026'!$A:$A,$C95,'מועמדים 2026'!$D:$D,"נ",'מועמדים 2026'!$B:$B,"&lt;="&amp;$D95)</f>
        <v/>
      </c>
      <c r="F95">
        <f>COUNTIFS('מועמדים 2026'!$A:$A,$C95,'מועמדים 2026'!$D:$D,"ז",'מועמדים 2026'!$B:$B,"&lt;="&amp;$D95)</f>
        <v/>
      </c>
      <c r="G95">
        <f>IF($D95=0,0,$E95/$D95)</f>
        <v/>
      </c>
      <c r="H95">
        <f>COUNTIFS('מועמדים 2026'!$A:$A,$C95)</f>
        <v/>
      </c>
      <c r="I95">
        <f>IF(AND($D95&gt;0,$H95=0),"אין נתוני מועמדים לחישוב","")</f>
        <v/>
      </c>
    </row>
    <row r="96">
      <c r="A96" t="inlineStr">
        <is>
          <t>ישראל היום</t>
        </is>
      </c>
      <c r="B96">
        <f>INDEX('סקרים לפי ערוץ'!$B:$B,MATCH($A96,'סקרים לפי ערוץ'!$A:$A,0))</f>
        <v/>
      </c>
      <c r="C96" t="inlineStr">
        <is>
          <t>ביחד (בנט-לפיד)</t>
        </is>
      </c>
      <c r="D96">
        <f>INDEX('סקרים לפי ערוץ'!O:O,MATCH($A96,'סקרים לפי ערוץ'!$A:$A,0))</f>
        <v/>
      </c>
      <c r="E96">
        <f>COUNTIFS('מועמדים 2026'!$A:$A,$C96,'מועמדים 2026'!$D:$D,"נ",'מועמדים 2026'!$B:$B,"&lt;="&amp;$D96)</f>
        <v/>
      </c>
      <c r="F96">
        <f>COUNTIFS('מועמדים 2026'!$A:$A,$C96,'מועמדים 2026'!$D:$D,"ז",'מועמדים 2026'!$B:$B,"&lt;="&amp;$D96)</f>
        <v/>
      </c>
      <c r="G96">
        <f>IF($D96=0,0,$E96/$D96)</f>
        <v/>
      </c>
      <c r="H96">
        <f>COUNTIFS('מועמדים 2026'!$A:$A,$C96)</f>
        <v/>
      </c>
      <c r="I96">
        <f>IF(AND($D96&gt;0,$H96=0),"אין נתוני מועמדים לחישוב","")</f>
        <v/>
      </c>
    </row>
    <row r="97">
      <c r="A97" t="inlineStr">
        <is>
          <t>ישראל היום</t>
        </is>
      </c>
      <c r="B97">
        <f>INDEX('סקרים לפי ערוץ'!$B:$B,MATCH($A97,'סקרים לפי ערוץ'!$A:$A,0))</f>
        <v/>
      </c>
      <c r="C97" t="inlineStr">
        <is>
          <t>ישר!</t>
        </is>
      </c>
      <c r="D97">
        <f>INDEX('סקרים לפי ערוץ'!P:P,MATCH($A97,'סקרים לפי ערוץ'!$A:$A,0))</f>
        <v/>
      </c>
      <c r="E97">
        <f>COUNTIFS('מועמדים 2026'!$A:$A,$C97,'מועמדים 2026'!$D:$D,"נ",'מועמדים 2026'!$B:$B,"&lt;="&amp;$D97)</f>
        <v/>
      </c>
      <c r="F97">
        <f>COUNTIFS('מועמדים 2026'!$A:$A,$C97,'מועמדים 2026'!$D:$D,"ז",'מועמדים 2026'!$B:$B,"&lt;="&amp;$D97)</f>
        <v/>
      </c>
      <c r="G97">
        <f>IF($D97=0,0,$E97/$D97)</f>
        <v/>
      </c>
      <c r="H97">
        <f>COUNTIFS('מועמדים 2026'!$A:$A,$C97)</f>
        <v/>
      </c>
      <c r="I97">
        <f>IF(AND($D97&gt;0,$H97=0),"אין נתוני מועמדים לחישוב","")</f>
        <v/>
      </c>
    </row>
    <row r="98">
      <c r="A98" t="inlineStr">
        <is>
          <t>וואלה</t>
        </is>
      </c>
      <c r="B98">
        <f>INDEX('סקרים לפי ערוץ'!$B:$B,MATCH($A98,'סקרים לפי ערוץ'!$A:$A,0))</f>
        <v/>
      </c>
      <c r="C98" t="inlineStr">
        <is>
          <t>הליכוד</t>
        </is>
      </c>
      <c r="D98">
        <f>INDEX('סקרים לפי ערוץ'!E:E,MATCH($A98,'סקרים לפי ערוץ'!$A:$A,0))</f>
        <v/>
      </c>
      <c r="E98">
        <f>COUNTIFS('מועמדים 2026'!$A:$A,$C98,'מועמדים 2026'!$D:$D,"נ",'מועמדים 2026'!$B:$B,"&lt;="&amp;$D98)</f>
        <v/>
      </c>
      <c r="F98">
        <f>COUNTIFS('מועמדים 2026'!$A:$A,$C98,'מועמדים 2026'!$D:$D,"ז",'מועמדים 2026'!$B:$B,"&lt;="&amp;$D98)</f>
        <v/>
      </c>
      <c r="G98">
        <f>IF($D98=0,0,$E98/$D98)</f>
        <v/>
      </c>
      <c r="H98">
        <f>COUNTIFS('מועמדים 2026'!$A:$A,$C98)</f>
        <v/>
      </c>
      <c r="I98">
        <f>IF(AND($D98&gt;0,$H98=0),"אין נתוני מועמדים לחישוב","")</f>
        <v/>
      </c>
    </row>
    <row r="99">
      <c r="A99" t="inlineStr">
        <is>
          <t>וואלה</t>
        </is>
      </c>
      <c r="B99">
        <f>INDEX('סקרים לפי ערוץ'!$B:$B,MATCH($A99,'סקרים לפי ערוץ'!$A:$A,0))</f>
        <v/>
      </c>
      <c r="C99" t="inlineStr">
        <is>
          <t>יהדות התורה</t>
        </is>
      </c>
      <c r="D99">
        <f>INDEX('סקרים לפי ערוץ'!F:F,MATCH($A99,'סקרים לפי ערוץ'!$A:$A,0))</f>
        <v/>
      </c>
      <c r="E99">
        <f>COUNTIFS('מועמדים 2026'!$A:$A,$C99,'מועמדים 2026'!$D:$D,"נ",'מועמדים 2026'!$B:$B,"&lt;="&amp;$D99)</f>
        <v/>
      </c>
      <c r="F99">
        <f>COUNTIFS('מועמדים 2026'!$A:$A,$C99,'מועמדים 2026'!$D:$D,"ז",'מועמדים 2026'!$B:$B,"&lt;="&amp;$D99)</f>
        <v/>
      </c>
      <c r="G99">
        <f>IF($D99=0,0,$E99/$D99)</f>
        <v/>
      </c>
      <c r="H99">
        <f>COUNTIFS('מועמדים 2026'!$A:$A,$C99)</f>
        <v/>
      </c>
      <c r="I99">
        <f>IF(AND($D99&gt;0,$H99=0),"אין נתוני מועמדים לחישוב","")</f>
        <v/>
      </c>
    </row>
    <row r="100">
      <c r="A100" t="inlineStr">
        <is>
          <t>וואלה</t>
        </is>
      </c>
      <c r="B100">
        <f>INDEX('סקרים לפי ערוץ'!$B:$B,MATCH($A100,'סקרים לפי ערוץ'!$A:$A,0))</f>
        <v/>
      </c>
      <c r="C100" t="inlineStr">
        <is>
          <t>ש"ס</t>
        </is>
      </c>
      <c r="D100">
        <f>INDEX('סקרים לפי ערוץ'!G:G,MATCH($A100,'סקרים לפי ערוץ'!$A:$A,0))</f>
        <v/>
      </c>
      <c r="E100">
        <f>COUNTIFS('מועמדים 2026'!$A:$A,$C100,'מועמדים 2026'!$D:$D,"נ",'מועמדים 2026'!$B:$B,"&lt;="&amp;$D100)</f>
        <v/>
      </c>
      <c r="F100">
        <f>COUNTIFS('מועמדים 2026'!$A:$A,$C100,'מועמדים 2026'!$D:$D,"ז",'מועמדים 2026'!$B:$B,"&lt;="&amp;$D100)</f>
        <v/>
      </c>
      <c r="G100">
        <f>IF($D100=0,0,$E100/$D100)</f>
        <v/>
      </c>
      <c r="H100">
        <f>COUNTIFS('מועמדים 2026'!$A:$A,$C100)</f>
        <v/>
      </c>
      <c r="I100">
        <f>IF(AND($D100&gt;0,$H100=0),"אין נתוני מועמדים לחישוב","")</f>
        <v/>
      </c>
    </row>
    <row r="101">
      <c r="A101" t="inlineStr">
        <is>
          <t>וואלה</t>
        </is>
      </c>
      <c r="B101">
        <f>INDEX('סקרים לפי ערוץ'!$B:$B,MATCH($A101,'סקרים לפי ערוץ'!$A:$A,0))</f>
        <v/>
      </c>
      <c r="C101" t="inlineStr">
        <is>
          <t>כחול לבן</t>
        </is>
      </c>
      <c r="D101">
        <f>INDEX('סקרים לפי ערוץ'!H:H,MATCH($A101,'סקרים לפי ערוץ'!$A:$A,0))</f>
        <v/>
      </c>
      <c r="E101">
        <f>COUNTIFS('מועמדים 2026'!$A:$A,$C101,'מועמדים 2026'!$D:$D,"נ",'מועמדים 2026'!$B:$B,"&lt;="&amp;$D101)</f>
        <v/>
      </c>
      <c r="F101">
        <f>COUNTIFS('מועמדים 2026'!$A:$A,$C101,'מועמדים 2026'!$D:$D,"ז",'מועמדים 2026'!$B:$B,"&lt;="&amp;$D101)</f>
        <v/>
      </c>
      <c r="G101">
        <f>IF($D101=0,0,$E101/$D101)</f>
        <v/>
      </c>
      <c r="H101">
        <f>COUNTIFS('מועמדים 2026'!$A:$A,$C101)</f>
        <v/>
      </c>
      <c r="I101">
        <f>IF(AND($D101&gt;0,$H101=0),"אין נתוני מועמדים לחישוב","")</f>
        <v/>
      </c>
    </row>
    <row r="102">
      <c r="A102" t="inlineStr">
        <is>
          <t>וואלה</t>
        </is>
      </c>
      <c r="B102">
        <f>INDEX('סקרים לפי ערוץ'!$B:$B,MATCH($A102,'סקרים לפי ערוץ'!$A:$A,0))</f>
        <v/>
      </c>
      <c r="C102" t="inlineStr">
        <is>
          <t>חדש תע"ל</t>
        </is>
      </c>
      <c r="D102">
        <f>INDEX('סקרים לפי ערוץ'!I:I,MATCH($A102,'סקרים לפי ערוץ'!$A:$A,0))</f>
        <v/>
      </c>
      <c r="E102">
        <f>COUNTIFS('מועמדים 2026'!$A:$A,$C102,'מועמדים 2026'!$D:$D,"נ",'מועמדים 2026'!$B:$B,"&lt;="&amp;$D102)</f>
        <v/>
      </c>
      <c r="F102">
        <f>COUNTIFS('מועמדים 2026'!$A:$A,$C102,'מועמדים 2026'!$D:$D,"ז",'מועמדים 2026'!$B:$B,"&lt;="&amp;$D102)</f>
        <v/>
      </c>
      <c r="G102">
        <f>IF($D102=0,0,$E102/$D102)</f>
        <v/>
      </c>
      <c r="H102">
        <f>COUNTIFS('מועמדים 2026'!$A:$A,$C102)</f>
        <v/>
      </c>
      <c r="I102">
        <f>IF(AND($D102&gt;0,$H102=0),"אין נתוני מועמדים לחישוב","")</f>
        <v/>
      </c>
    </row>
    <row r="103">
      <c r="A103" t="inlineStr">
        <is>
          <t>וואלה</t>
        </is>
      </c>
      <c r="B103">
        <f>INDEX('סקרים לפי ערוץ'!$B:$B,MATCH($A103,'סקרים לפי ערוץ'!$A:$A,0))</f>
        <v/>
      </c>
      <c r="C103" t="inlineStr">
        <is>
          <t>ישראל ביתנו</t>
        </is>
      </c>
      <c r="D103">
        <f>INDEX('סקרים לפי ערוץ'!J:J,MATCH($A103,'סקרים לפי ערוץ'!$A:$A,0))</f>
        <v/>
      </c>
      <c r="E103">
        <f>COUNTIFS('מועמדים 2026'!$A:$A,$C103,'מועמדים 2026'!$D:$D,"נ",'מועמדים 2026'!$B:$B,"&lt;="&amp;$D103)</f>
        <v/>
      </c>
      <c r="F103">
        <f>COUNTIFS('מועמדים 2026'!$A:$A,$C103,'מועמדים 2026'!$D:$D,"ז",'מועמדים 2026'!$B:$B,"&lt;="&amp;$D103)</f>
        <v/>
      </c>
      <c r="G103">
        <f>IF($D103=0,0,$E103/$D103)</f>
        <v/>
      </c>
      <c r="H103">
        <f>COUNTIFS('מועמדים 2026'!$A:$A,$C103)</f>
        <v/>
      </c>
      <c r="I103">
        <f>IF(AND($D103&gt;0,$H103=0),"אין נתוני מועמדים לחישוב","")</f>
        <v/>
      </c>
    </row>
    <row r="104">
      <c r="A104" t="inlineStr">
        <is>
          <t>וואלה</t>
        </is>
      </c>
      <c r="B104">
        <f>INDEX('סקרים לפי ערוץ'!$B:$B,MATCH($A104,'סקרים לפי ערוץ'!$A:$A,0))</f>
        <v/>
      </c>
      <c r="C104" t="inlineStr">
        <is>
          <t>הדמוקרטים</t>
        </is>
      </c>
      <c r="D104">
        <f>INDEX('סקרים לפי ערוץ'!K:K,MATCH($A104,'סקרים לפי ערוץ'!$A:$A,0))</f>
        <v/>
      </c>
      <c r="E104">
        <f>COUNTIFS('מועמדים 2026'!$A:$A,$C104,'מועמדים 2026'!$D:$D,"נ",'מועמדים 2026'!$B:$B,"&lt;="&amp;$D104)</f>
        <v/>
      </c>
      <c r="F104">
        <f>COUNTIFS('מועמדים 2026'!$A:$A,$C104,'מועמדים 2026'!$D:$D,"ז",'מועמדים 2026'!$B:$B,"&lt;="&amp;$D104)</f>
        <v/>
      </c>
      <c r="G104">
        <f>IF($D104=0,0,$E104/$D104)</f>
        <v/>
      </c>
      <c r="H104">
        <f>COUNTIFS('מועמדים 2026'!$A:$A,$C104)</f>
        <v/>
      </c>
      <c r="I104">
        <f>IF(AND($D104&gt;0,$H104=0),"אין נתוני מועמדים לחישוב","")</f>
        <v/>
      </c>
    </row>
    <row r="105">
      <c r="A105" t="inlineStr">
        <is>
          <t>וואלה</t>
        </is>
      </c>
      <c r="B105">
        <f>INDEX('סקרים לפי ערוץ'!$B:$B,MATCH($A105,'סקרים לפי ערוץ'!$A:$A,0))</f>
        <v/>
      </c>
      <c r="C105" t="inlineStr">
        <is>
          <t>הציונות הדתית</t>
        </is>
      </c>
      <c r="D105">
        <f>INDEX('סקרים לפי ערוץ'!L:L,MATCH($A105,'סקרים לפי ערוץ'!$A:$A,0))</f>
        <v/>
      </c>
      <c r="E105">
        <f>COUNTIFS('מועמדים 2026'!$A:$A,$C105,'מועמדים 2026'!$D:$D,"נ",'מועמדים 2026'!$B:$B,"&lt;="&amp;$D105)</f>
        <v/>
      </c>
      <c r="F105">
        <f>COUNTIFS('מועמדים 2026'!$A:$A,$C105,'מועמדים 2026'!$D:$D,"ז",'מועמדים 2026'!$B:$B,"&lt;="&amp;$D105)</f>
        <v/>
      </c>
      <c r="G105">
        <f>IF($D105=0,0,$E105/$D105)</f>
        <v/>
      </c>
      <c r="H105">
        <f>COUNTIFS('מועמדים 2026'!$A:$A,$C105)</f>
        <v/>
      </c>
      <c r="I105">
        <f>IF(AND($D105&gt;0,$H105=0),"אין נתוני מועמדים לחישוב","")</f>
        <v/>
      </c>
    </row>
    <row r="106">
      <c r="A106" t="inlineStr">
        <is>
          <t>וואלה</t>
        </is>
      </c>
      <c r="B106">
        <f>INDEX('סקרים לפי ערוץ'!$B:$B,MATCH($A106,'סקרים לפי ערוץ'!$A:$A,0))</f>
        <v/>
      </c>
      <c r="C106" t="inlineStr">
        <is>
          <t>רע"מ</t>
        </is>
      </c>
      <c r="D106">
        <f>INDEX('סקרים לפי ערוץ'!M:M,MATCH($A106,'סקרים לפי ערוץ'!$A:$A,0))</f>
        <v/>
      </c>
      <c r="E106">
        <f>COUNTIFS('מועמדים 2026'!$A:$A,$C106,'מועמדים 2026'!$D:$D,"נ",'מועמדים 2026'!$B:$B,"&lt;="&amp;$D106)</f>
        <v/>
      </c>
      <c r="F106">
        <f>COUNTIFS('מועמדים 2026'!$A:$A,$C106,'מועמדים 2026'!$D:$D,"ז",'מועמדים 2026'!$B:$B,"&lt;="&amp;$D106)</f>
        <v/>
      </c>
      <c r="G106">
        <f>IF($D106=0,0,$E106/$D106)</f>
        <v/>
      </c>
      <c r="H106">
        <f>COUNTIFS('מועמדים 2026'!$A:$A,$C106)</f>
        <v/>
      </c>
      <c r="I106">
        <f>IF(AND($D106&gt;0,$H106=0),"אין נתוני מועמדים לחישוב","")</f>
        <v/>
      </c>
    </row>
    <row r="107">
      <c r="A107" t="inlineStr">
        <is>
          <t>וואלה</t>
        </is>
      </c>
      <c r="B107">
        <f>INDEX('סקרים לפי ערוץ'!$B:$B,MATCH($A107,'סקרים לפי ערוץ'!$A:$A,0))</f>
        <v/>
      </c>
      <c r="C107" t="inlineStr">
        <is>
          <t>עוצמה יהודית</t>
        </is>
      </c>
      <c r="D107">
        <f>INDEX('סקרים לפי ערוץ'!N:N,MATCH($A107,'סקרים לפי ערוץ'!$A:$A,0))</f>
        <v/>
      </c>
      <c r="E107">
        <f>COUNTIFS('מועמדים 2026'!$A:$A,$C107,'מועמדים 2026'!$D:$D,"נ",'מועמדים 2026'!$B:$B,"&lt;="&amp;$D107)</f>
        <v/>
      </c>
      <c r="F107">
        <f>COUNTIFS('מועמדים 2026'!$A:$A,$C107,'מועמדים 2026'!$D:$D,"ז",'מועמדים 2026'!$B:$B,"&lt;="&amp;$D107)</f>
        <v/>
      </c>
      <c r="G107">
        <f>IF($D107=0,0,$E107/$D107)</f>
        <v/>
      </c>
      <c r="H107">
        <f>COUNTIFS('מועמדים 2026'!$A:$A,$C107)</f>
        <v/>
      </c>
      <c r="I107">
        <f>IF(AND($D107&gt;0,$H107=0),"אין נתוני מועמדים לחישוב","")</f>
        <v/>
      </c>
    </row>
    <row r="108">
      <c r="A108" t="inlineStr">
        <is>
          <t>וואלה</t>
        </is>
      </c>
      <c r="B108">
        <f>INDEX('סקרים לפי ערוץ'!$B:$B,MATCH($A108,'סקרים לפי ערוץ'!$A:$A,0))</f>
        <v/>
      </c>
      <c r="C108" t="inlineStr">
        <is>
          <t>ביחד (בנט-לפיד)</t>
        </is>
      </c>
      <c r="D108">
        <f>INDEX('סקרים לפי ערוץ'!O:O,MATCH($A108,'סקרים לפי ערוץ'!$A:$A,0))</f>
        <v/>
      </c>
      <c r="E108">
        <f>COUNTIFS('מועמדים 2026'!$A:$A,$C108,'מועמדים 2026'!$D:$D,"נ",'מועמדים 2026'!$B:$B,"&lt;="&amp;$D108)</f>
        <v/>
      </c>
      <c r="F108">
        <f>COUNTIFS('מועמדים 2026'!$A:$A,$C108,'מועמדים 2026'!$D:$D,"ז",'מועמדים 2026'!$B:$B,"&lt;="&amp;$D108)</f>
        <v/>
      </c>
      <c r="G108">
        <f>IF($D108=0,0,$E108/$D108)</f>
        <v/>
      </c>
      <c r="H108">
        <f>COUNTIFS('מועמדים 2026'!$A:$A,$C108)</f>
        <v/>
      </c>
      <c r="I108">
        <f>IF(AND($D108&gt;0,$H108=0),"אין נתוני מועמדים לחישוב","")</f>
        <v/>
      </c>
    </row>
    <row r="109">
      <c r="A109" t="inlineStr">
        <is>
          <t>וואלה</t>
        </is>
      </c>
      <c r="B109">
        <f>INDEX('סקרים לפי ערוץ'!$B:$B,MATCH($A109,'סקרים לפי ערוץ'!$A:$A,0))</f>
        <v/>
      </c>
      <c r="C109" t="inlineStr">
        <is>
          <t>ישר!</t>
        </is>
      </c>
      <c r="D109">
        <f>INDEX('סקרים לפי ערוץ'!P:P,MATCH($A109,'סקרים לפי ערוץ'!$A:$A,0))</f>
        <v/>
      </c>
      <c r="E109">
        <f>COUNTIFS('מועמדים 2026'!$A:$A,$C109,'מועמדים 2026'!$D:$D,"נ",'מועמדים 2026'!$B:$B,"&lt;="&amp;$D109)</f>
        <v/>
      </c>
      <c r="F109">
        <f>COUNTIFS('מועמדים 2026'!$A:$A,$C109,'מועמדים 2026'!$D:$D,"ז",'מועמדים 2026'!$B:$B,"&lt;="&amp;$D109)</f>
        <v/>
      </c>
      <c r="G109">
        <f>IF($D109=0,0,$E109/$D109)</f>
        <v/>
      </c>
      <c r="H109">
        <f>COUNTIFS('מועמדים 2026'!$A:$A,$C109)</f>
        <v/>
      </c>
      <c r="I109">
        <f>IF(AND($D109&gt;0,$H109=0),"אין נתוני מועמדים לחישוב","")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2026-08-02T15:52:11Z</dcterms:modified>
  <cp:revision>0</cp:revision>
</cp:coreProperties>
</file>